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ERuth\Desktop\学习资料\AI\深度学习基础\使用机器学习预测同位素β衰变半衰期Torch\"/>
    </mc:Choice>
  </mc:AlternateContent>
  <xr:revisionPtr revIDLastSave="0" documentId="13_ncr:1_{F391B98B-92B0-44E6-AC70-4447D00DBBA2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训练后测试集结果" sheetId="1" r:id="rId1"/>
    <sheet name="随机分配新的测试集但是不训练得到的结果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9" i="2" l="1"/>
  <c r="M119" i="2" s="1"/>
  <c r="H118" i="2"/>
  <c r="M118" i="2" s="1"/>
  <c r="M117" i="2"/>
  <c r="L117" i="2"/>
  <c r="K117" i="2"/>
  <c r="J117" i="2"/>
  <c r="H117" i="2"/>
  <c r="I117" i="2" s="1"/>
  <c r="H116" i="2"/>
  <c r="M116" i="2" s="1"/>
  <c r="J115" i="2"/>
  <c r="I115" i="2"/>
  <c r="H115" i="2"/>
  <c r="M115" i="2" s="1"/>
  <c r="M114" i="2"/>
  <c r="L114" i="2"/>
  <c r="J114" i="2"/>
  <c r="H114" i="2"/>
  <c r="K114" i="2" s="1"/>
  <c r="I113" i="2"/>
  <c r="H113" i="2"/>
  <c r="M113" i="2" s="1"/>
  <c r="L112" i="2"/>
  <c r="K112" i="2"/>
  <c r="J112" i="2"/>
  <c r="I112" i="2"/>
  <c r="H112" i="2"/>
  <c r="M112" i="2" s="1"/>
  <c r="L111" i="2"/>
  <c r="H111" i="2"/>
  <c r="M111" i="2" s="1"/>
  <c r="H110" i="2"/>
  <c r="M110" i="2" s="1"/>
  <c r="M109" i="2"/>
  <c r="L109" i="2"/>
  <c r="K109" i="2"/>
  <c r="J109" i="2"/>
  <c r="H109" i="2"/>
  <c r="I109" i="2" s="1"/>
  <c r="H108" i="2"/>
  <c r="M108" i="2" s="1"/>
  <c r="J107" i="2"/>
  <c r="I107" i="2"/>
  <c r="H107" i="2"/>
  <c r="M107" i="2" s="1"/>
  <c r="M106" i="2"/>
  <c r="L106" i="2"/>
  <c r="J106" i="2"/>
  <c r="H106" i="2"/>
  <c r="K106" i="2" s="1"/>
  <c r="I105" i="2"/>
  <c r="H105" i="2"/>
  <c r="M105" i="2" s="1"/>
  <c r="L104" i="2"/>
  <c r="K104" i="2"/>
  <c r="J104" i="2"/>
  <c r="I104" i="2"/>
  <c r="H104" i="2"/>
  <c r="M104" i="2" s="1"/>
  <c r="L103" i="2"/>
  <c r="H103" i="2"/>
  <c r="M103" i="2" s="1"/>
  <c r="H102" i="2"/>
  <c r="M102" i="2" s="1"/>
  <c r="M101" i="2"/>
  <c r="L101" i="2"/>
  <c r="K101" i="2"/>
  <c r="J101" i="2"/>
  <c r="H101" i="2"/>
  <c r="I101" i="2" s="1"/>
  <c r="H100" i="2"/>
  <c r="M100" i="2" s="1"/>
  <c r="J99" i="2"/>
  <c r="I99" i="2"/>
  <c r="H99" i="2"/>
  <c r="M99" i="2" s="1"/>
  <c r="M98" i="2"/>
  <c r="L98" i="2"/>
  <c r="J98" i="2"/>
  <c r="H98" i="2"/>
  <c r="K98" i="2" s="1"/>
  <c r="I97" i="2"/>
  <c r="H97" i="2"/>
  <c r="M97" i="2" s="1"/>
  <c r="L96" i="2"/>
  <c r="K96" i="2"/>
  <c r="J96" i="2"/>
  <c r="I96" i="2"/>
  <c r="H96" i="2"/>
  <c r="M96" i="2" s="1"/>
  <c r="L95" i="2"/>
  <c r="H95" i="2"/>
  <c r="M95" i="2" s="1"/>
  <c r="H94" i="2"/>
  <c r="M94" i="2" s="1"/>
  <c r="M93" i="2"/>
  <c r="L93" i="2"/>
  <c r="K93" i="2"/>
  <c r="J93" i="2"/>
  <c r="H93" i="2"/>
  <c r="I93" i="2" s="1"/>
  <c r="H92" i="2"/>
  <c r="M92" i="2" s="1"/>
  <c r="J91" i="2"/>
  <c r="I91" i="2"/>
  <c r="H91" i="2"/>
  <c r="M91" i="2" s="1"/>
  <c r="M90" i="2"/>
  <c r="L90" i="2"/>
  <c r="J90" i="2"/>
  <c r="H90" i="2"/>
  <c r="K90" i="2" s="1"/>
  <c r="I89" i="2"/>
  <c r="H89" i="2"/>
  <c r="M89" i="2" s="1"/>
  <c r="L88" i="2"/>
  <c r="K88" i="2"/>
  <c r="J88" i="2"/>
  <c r="I88" i="2"/>
  <c r="H88" i="2"/>
  <c r="M88" i="2" s="1"/>
  <c r="L87" i="2"/>
  <c r="H87" i="2"/>
  <c r="M87" i="2" s="1"/>
  <c r="H86" i="2"/>
  <c r="M86" i="2" s="1"/>
  <c r="M85" i="2"/>
  <c r="L85" i="2"/>
  <c r="K85" i="2"/>
  <c r="J85" i="2"/>
  <c r="H85" i="2"/>
  <c r="I85" i="2" s="1"/>
  <c r="H84" i="2"/>
  <c r="M84" i="2" s="1"/>
  <c r="J83" i="2"/>
  <c r="I83" i="2"/>
  <c r="H83" i="2"/>
  <c r="M83" i="2" s="1"/>
  <c r="M82" i="2"/>
  <c r="L82" i="2"/>
  <c r="J82" i="2"/>
  <c r="H82" i="2"/>
  <c r="K82" i="2" s="1"/>
  <c r="I81" i="2"/>
  <c r="H81" i="2"/>
  <c r="M81" i="2" s="1"/>
  <c r="L80" i="2"/>
  <c r="K80" i="2"/>
  <c r="J80" i="2"/>
  <c r="I80" i="2"/>
  <c r="H80" i="2"/>
  <c r="M80" i="2" s="1"/>
  <c r="L79" i="2"/>
  <c r="H79" i="2"/>
  <c r="M79" i="2" s="1"/>
  <c r="H78" i="2"/>
  <c r="M78" i="2" s="1"/>
  <c r="M77" i="2"/>
  <c r="L77" i="2"/>
  <c r="K77" i="2"/>
  <c r="J77" i="2"/>
  <c r="H77" i="2"/>
  <c r="I77" i="2" s="1"/>
  <c r="H76" i="2"/>
  <c r="M76" i="2" s="1"/>
  <c r="J75" i="2"/>
  <c r="I75" i="2"/>
  <c r="H75" i="2"/>
  <c r="M75" i="2" s="1"/>
  <c r="M74" i="2"/>
  <c r="L74" i="2"/>
  <c r="J74" i="2"/>
  <c r="H74" i="2"/>
  <c r="K74" i="2" s="1"/>
  <c r="I73" i="2"/>
  <c r="H73" i="2"/>
  <c r="M73" i="2" s="1"/>
  <c r="L72" i="2"/>
  <c r="K72" i="2"/>
  <c r="J72" i="2"/>
  <c r="I72" i="2"/>
  <c r="H72" i="2"/>
  <c r="M72" i="2" s="1"/>
  <c r="L71" i="2"/>
  <c r="H71" i="2"/>
  <c r="M71" i="2" s="1"/>
  <c r="H70" i="2"/>
  <c r="M70" i="2" s="1"/>
  <c r="M69" i="2"/>
  <c r="L69" i="2"/>
  <c r="K69" i="2"/>
  <c r="J69" i="2"/>
  <c r="H69" i="2"/>
  <c r="I69" i="2" s="1"/>
  <c r="H68" i="2"/>
  <c r="M68" i="2" s="1"/>
  <c r="J67" i="2"/>
  <c r="I67" i="2"/>
  <c r="H67" i="2"/>
  <c r="M67" i="2" s="1"/>
  <c r="M66" i="2"/>
  <c r="L66" i="2"/>
  <c r="J66" i="2"/>
  <c r="H66" i="2"/>
  <c r="K66" i="2" s="1"/>
  <c r="I65" i="2"/>
  <c r="H65" i="2"/>
  <c r="M65" i="2" s="1"/>
  <c r="L64" i="2"/>
  <c r="K64" i="2"/>
  <c r="J64" i="2"/>
  <c r="I64" i="2"/>
  <c r="H64" i="2"/>
  <c r="M64" i="2" s="1"/>
  <c r="L63" i="2"/>
  <c r="H63" i="2"/>
  <c r="M63" i="2" s="1"/>
  <c r="H62" i="2"/>
  <c r="M62" i="2" s="1"/>
  <c r="M61" i="2"/>
  <c r="L61" i="2"/>
  <c r="K61" i="2"/>
  <c r="J61" i="2"/>
  <c r="H61" i="2"/>
  <c r="I61" i="2" s="1"/>
  <c r="H60" i="2"/>
  <c r="M60" i="2" s="1"/>
  <c r="J59" i="2"/>
  <c r="I59" i="2"/>
  <c r="H59" i="2"/>
  <c r="M59" i="2" s="1"/>
  <c r="M58" i="2"/>
  <c r="L58" i="2"/>
  <c r="J58" i="2"/>
  <c r="H58" i="2"/>
  <c r="K58" i="2" s="1"/>
  <c r="I57" i="2"/>
  <c r="H57" i="2"/>
  <c r="M57" i="2" s="1"/>
  <c r="L56" i="2"/>
  <c r="K56" i="2"/>
  <c r="J56" i="2"/>
  <c r="I56" i="2"/>
  <c r="H56" i="2"/>
  <c r="M56" i="2" s="1"/>
  <c r="L55" i="2"/>
  <c r="H55" i="2"/>
  <c r="M55" i="2" s="1"/>
  <c r="H54" i="2"/>
  <c r="M54" i="2" s="1"/>
  <c r="M53" i="2"/>
  <c r="L53" i="2"/>
  <c r="K53" i="2"/>
  <c r="J53" i="2"/>
  <c r="H53" i="2"/>
  <c r="I53" i="2" s="1"/>
  <c r="H52" i="2"/>
  <c r="M52" i="2" s="1"/>
  <c r="J51" i="2"/>
  <c r="I51" i="2"/>
  <c r="H51" i="2"/>
  <c r="M51" i="2" s="1"/>
  <c r="M50" i="2"/>
  <c r="L50" i="2"/>
  <c r="J50" i="2"/>
  <c r="H50" i="2"/>
  <c r="K50" i="2" s="1"/>
  <c r="I49" i="2"/>
  <c r="H49" i="2"/>
  <c r="M49" i="2" s="1"/>
  <c r="L48" i="2"/>
  <c r="K48" i="2"/>
  <c r="J48" i="2"/>
  <c r="I48" i="2"/>
  <c r="H48" i="2"/>
  <c r="M48" i="2" s="1"/>
  <c r="L47" i="2"/>
  <c r="H47" i="2"/>
  <c r="M47" i="2" s="1"/>
  <c r="H46" i="2"/>
  <c r="M46" i="2" s="1"/>
  <c r="M45" i="2"/>
  <c r="L45" i="2"/>
  <c r="K45" i="2"/>
  <c r="J45" i="2"/>
  <c r="H45" i="2"/>
  <c r="I45" i="2" s="1"/>
  <c r="H44" i="2"/>
  <c r="M44" i="2" s="1"/>
  <c r="J43" i="2"/>
  <c r="I43" i="2"/>
  <c r="H43" i="2"/>
  <c r="M43" i="2" s="1"/>
  <c r="M42" i="2"/>
  <c r="L42" i="2"/>
  <c r="J42" i="2"/>
  <c r="H42" i="2"/>
  <c r="K42" i="2" s="1"/>
  <c r="I41" i="2"/>
  <c r="H41" i="2"/>
  <c r="M41" i="2" s="1"/>
  <c r="L40" i="2"/>
  <c r="K40" i="2"/>
  <c r="J40" i="2"/>
  <c r="I40" i="2"/>
  <c r="H40" i="2"/>
  <c r="M40" i="2" s="1"/>
  <c r="L39" i="2"/>
  <c r="H39" i="2"/>
  <c r="M39" i="2" s="1"/>
  <c r="H38" i="2"/>
  <c r="M38" i="2" s="1"/>
  <c r="M37" i="2"/>
  <c r="L37" i="2"/>
  <c r="K37" i="2"/>
  <c r="J37" i="2"/>
  <c r="H37" i="2"/>
  <c r="I37" i="2" s="1"/>
  <c r="H36" i="2"/>
  <c r="M36" i="2" s="1"/>
  <c r="J35" i="2"/>
  <c r="I35" i="2"/>
  <c r="H35" i="2"/>
  <c r="M35" i="2" s="1"/>
  <c r="M34" i="2"/>
  <c r="L34" i="2"/>
  <c r="J34" i="2"/>
  <c r="H34" i="2"/>
  <c r="K34" i="2" s="1"/>
  <c r="I33" i="2"/>
  <c r="H33" i="2"/>
  <c r="M33" i="2" s="1"/>
  <c r="L32" i="2"/>
  <c r="K32" i="2"/>
  <c r="J32" i="2"/>
  <c r="I32" i="2"/>
  <c r="H32" i="2"/>
  <c r="M32" i="2" s="1"/>
  <c r="L31" i="2"/>
  <c r="H31" i="2"/>
  <c r="M31" i="2" s="1"/>
  <c r="H30" i="2"/>
  <c r="M30" i="2" s="1"/>
  <c r="M29" i="2"/>
  <c r="L29" i="2"/>
  <c r="K29" i="2"/>
  <c r="J29" i="2"/>
  <c r="H29" i="2"/>
  <c r="I29" i="2" s="1"/>
  <c r="H28" i="2"/>
  <c r="M28" i="2" s="1"/>
  <c r="J27" i="2"/>
  <c r="I27" i="2"/>
  <c r="H27" i="2"/>
  <c r="M27" i="2" s="1"/>
  <c r="M26" i="2"/>
  <c r="L26" i="2"/>
  <c r="J26" i="2"/>
  <c r="H26" i="2"/>
  <c r="K26" i="2" s="1"/>
  <c r="I25" i="2"/>
  <c r="H25" i="2"/>
  <c r="M25" i="2" s="1"/>
  <c r="L24" i="2"/>
  <c r="K24" i="2"/>
  <c r="J24" i="2"/>
  <c r="I24" i="2"/>
  <c r="H24" i="2"/>
  <c r="M24" i="2" s="1"/>
  <c r="L23" i="2"/>
  <c r="H23" i="2"/>
  <c r="M23" i="2" s="1"/>
  <c r="H22" i="2"/>
  <c r="M22" i="2" s="1"/>
  <c r="M21" i="2"/>
  <c r="L21" i="2"/>
  <c r="K21" i="2"/>
  <c r="J21" i="2"/>
  <c r="H21" i="2"/>
  <c r="I21" i="2" s="1"/>
  <c r="H20" i="2"/>
  <c r="M20" i="2" s="1"/>
  <c r="J19" i="2"/>
  <c r="I19" i="2"/>
  <c r="H19" i="2"/>
  <c r="M19" i="2" s="1"/>
  <c r="M18" i="2"/>
  <c r="L18" i="2"/>
  <c r="J18" i="2"/>
  <c r="H18" i="2"/>
  <c r="K18" i="2" s="1"/>
  <c r="I17" i="2"/>
  <c r="H17" i="2"/>
  <c r="M17" i="2" s="1"/>
  <c r="L16" i="2"/>
  <c r="K16" i="2"/>
  <c r="J16" i="2"/>
  <c r="I16" i="2"/>
  <c r="H16" i="2"/>
  <c r="M16" i="2" s="1"/>
  <c r="L15" i="2"/>
  <c r="H15" i="2"/>
  <c r="M15" i="2" s="1"/>
  <c r="H14" i="2"/>
  <c r="M14" i="2" s="1"/>
  <c r="M13" i="2"/>
  <c r="L13" i="2"/>
  <c r="K13" i="2"/>
  <c r="J13" i="2"/>
  <c r="H13" i="2"/>
  <c r="I13" i="2" s="1"/>
  <c r="H12" i="2"/>
  <c r="M12" i="2" s="1"/>
  <c r="J11" i="2"/>
  <c r="I11" i="2"/>
  <c r="H11" i="2"/>
  <c r="M11" i="2" s="1"/>
  <c r="M10" i="2"/>
  <c r="L10" i="2"/>
  <c r="J10" i="2"/>
  <c r="H10" i="2"/>
  <c r="K10" i="2" s="1"/>
  <c r="I9" i="2"/>
  <c r="H9" i="2"/>
  <c r="M9" i="2" s="1"/>
  <c r="L8" i="2"/>
  <c r="K8" i="2"/>
  <c r="J8" i="2"/>
  <c r="I8" i="2"/>
  <c r="H8" i="2"/>
  <c r="M8" i="2" s="1"/>
  <c r="L7" i="2"/>
  <c r="H7" i="2"/>
  <c r="M7" i="2" s="1"/>
  <c r="H6" i="2"/>
  <c r="I6" i="2" s="1"/>
  <c r="M5" i="2"/>
  <c r="L5" i="2"/>
  <c r="J5" i="2"/>
  <c r="H5" i="2"/>
  <c r="K5" i="2" s="1"/>
  <c r="J4" i="2"/>
  <c r="H4" i="2"/>
  <c r="M4" i="2" s="1"/>
  <c r="M3" i="2"/>
  <c r="L3" i="2"/>
  <c r="K3" i="2"/>
  <c r="J3" i="2"/>
  <c r="H3" i="2"/>
  <c r="I3" i="2" s="1"/>
  <c r="H2" i="2"/>
  <c r="M2" i="2" s="1"/>
  <c r="H119" i="1"/>
  <c r="M119" i="1" s="1"/>
  <c r="H118" i="1"/>
  <c r="M118" i="1" s="1"/>
  <c r="M117" i="1"/>
  <c r="L117" i="1"/>
  <c r="K117" i="1"/>
  <c r="J117" i="1"/>
  <c r="H117" i="1"/>
  <c r="I117" i="1" s="1"/>
  <c r="J116" i="1"/>
  <c r="H116" i="1"/>
  <c r="M116" i="1" s="1"/>
  <c r="H115" i="1"/>
  <c r="M115" i="1" s="1"/>
  <c r="M114" i="1"/>
  <c r="L114" i="1"/>
  <c r="H114" i="1"/>
  <c r="K114" i="1" s="1"/>
  <c r="L113" i="1"/>
  <c r="J113" i="1"/>
  <c r="H113" i="1"/>
  <c r="M113" i="1" s="1"/>
  <c r="I112" i="1"/>
  <c r="H112" i="1"/>
  <c r="M112" i="1" s="1"/>
  <c r="H111" i="1"/>
  <c r="M111" i="1" s="1"/>
  <c r="H110" i="1"/>
  <c r="M110" i="1" s="1"/>
  <c r="M109" i="1"/>
  <c r="L109" i="1"/>
  <c r="K109" i="1"/>
  <c r="J109" i="1"/>
  <c r="H109" i="1"/>
  <c r="I109" i="1" s="1"/>
  <c r="J108" i="1"/>
  <c r="H108" i="1"/>
  <c r="M108" i="1" s="1"/>
  <c r="H107" i="1"/>
  <c r="M107" i="1" s="1"/>
  <c r="M106" i="1"/>
  <c r="L106" i="1"/>
  <c r="H106" i="1"/>
  <c r="K106" i="1" s="1"/>
  <c r="L105" i="1"/>
  <c r="J105" i="1"/>
  <c r="H105" i="1"/>
  <c r="M105" i="1" s="1"/>
  <c r="J104" i="1"/>
  <c r="I104" i="1"/>
  <c r="H104" i="1"/>
  <c r="M104" i="1" s="1"/>
  <c r="H103" i="1"/>
  <c r="M103" i="1" s="1"/>
  <c r="H102" i="1"/>
  <c r="M102" i="1" s="1"/>
  <c r="M101" i="1"/>
  <c r="L101" i="1"/>
  <c r="K101" i="1"/>
  <c r="J101" i="1"/>
  <c r="H101" i="1"/>
  <c r="I101" i="1" s="1"/>
  <c r="J100" i="1"/>
  <c r="H100" i="1"/>
  <c r="M100" i="1" s="1"/>
  <c r="H99" i="1"/>
  <c r="M99" i="1" s="1"/>
  <c r="M98" i="1"/>
  <c r="L98" i="1"/>
  <c r="H98" i="1"/>
  <c r="K98" i="1" s="1"/>
  <c r="L97" i="1"/>
  <c r="J97" i="1"/>
  <c r="H97" i="1"/>
  <c r="M97" i="1" s="1"/>
  <c r="J96" i="1"/>
  <c r="I96" i="1"/>
  <c r="H96" i="1"/>
  <c r="M96" i="1" s="1"/>
  <c r="H95" i="1"/>
  <c r="M95" i="1" s="1"/>
  <c r="H94" i="1"/>
  <c r="M94" i="1" s="1"/>
  <c r="M93" i="1"/>
  <c r="L93" i="1"/>
  <c r="K93" i="1"/>
  <c r="J93" i="1"/>
  <c r="H93" i="1"/>
  <c r="I93" i="1" s="1"/>
  <c r="J92" i="1"/>
  <c r="H92" i="1"/>
  <c r="M92" i="1" s="1"/>
  <c r="H91" i="1"/>
  <c r="M91" i="1" s="1"/>
  <c r="M90" i="1"/>
  <c r="L90" i="1"/>
  <c r="H90" i="1"/>
  <c r="K90" i="1" s="1"/>
  <c r="L89" i="1"/>
  <c r="J89" i="1"/>
  <c r="H89" i="1"/>
  <c r="M89" i="1" s="1"/>
  <c r="J88" i="1"/>
  <c r="I88" i="1"/>
  <c r="H88" i="1"/>
  <c r="M88" i="1" s="1"/>
  <c r="H87" i="1"/>
  <c r="M87" i="1" s="1"/>
  <c r="H86" i="1"/>
  <c r="M86" i="1" s="1"/>
  <c r="M85" i="1"/>
  <c r="L85" i="1"/>
  <c r="K85" i="1"/>
  <c r="J85" i="1"/>
  <c r="H85" i="1"/>
  <c r="I85" i="1" s="1"/>
  <c r="J84" i="1"/>
  <c r="H84" i="1"/>
  <c r="M84" i="1" s="1"/>
  <c r="H83" i="1"/>
  <c r="M83" i="1" s="1"/>
  <c r="M82" i="1"/>
  <c r="L82" i="1"/>
  <c r="H82" i="1"/>
  <c r="K82" i="1" s="1"/>
  <c r="L81" i="1"/>
  <c r="J81" i="1"/>
  <c r="H81" i="1"/>
  <c r="M81" i="1" s="1"/>
  <c r="J80" i="1"/>
  <c r="I80" i="1"/>
  <c r="H80" i="1"/>
  <c r="M80" i="1" s="1"/>
  <c r="H79" i="1"/>
  <c r="M79" i="1" s="1"/>
  <c r="H78" i="1"/>
  <c r="M78" i="1" s="1"/>
  <c r="M77" i="1"/>
  <c r="L77" i="1"/>
  <c r="K77" i="1"/>
  <c r="J77" i="1"/>
  <c r="H77" i="1"/>
  <c r="I77" i="1" s="1"/>
  <c r="J76" i="1"/>
  <c r="H76" i="1"/>
  <c r="M76" i="1" s="1"/>
  <c r="H75" i="1"/>
  <c r="M75" i="1" s="1"/>
  <c r="M74" i="1"/>
  <c r="L74" i="1"/>
  <c r="H74" i="1"/>
  <c r="K74" i="1" s="1"/>
  <c r="L73" i="1"/>
  <c r="J73" i="1"/>
  <c r="H73" i="1"/>
  <c r="M73" i="1" s="1"/>
  <c r="J72" i="1"/>
  <c r="I72" i="1"/>
  <c r="H72" i="1"/>
  <c r="M72" i="1" s="1"/>
  <c r="H71" i="1"/>
  <c r="M71" i="1" s="1"/>
  <c r="H70" i="1"/>
  <c r="M70" i="1" s="1"/>
  <c r="M69" i="1"/>
  <c r="L69" i="1"/>
  <c r="K69" i="1"/>
  <c r="J69" i="1"/>
  <c r="H69" i="1"/>
  <c r="I69" i="1" s="1"/>
  <c r="J68" i="1"/>
  <c r="H68" i="1"/>
  <c r="M68" i="1" s="1"/>
  <c r="H67" i="1"/>
  <c r="M67" i="1" s="1"/>
  <c r="M66" i="1"/>
  <c r="L66" i="1"/>
  <c r="H66" i="1"/>
  <c r="K66" i="1" s="1"/>
  <c r="L65" i="1"/>
  <c r="J65" i="1"/>
  <c r="H65" i="1"/>
  <c r="M65" i="1" s="1"/>
  <c r="J64" i="1"/>
  <c r="I64" i="1"/>
  <c r="H64" i="1"/>
  <c r="M64" i="1" s="1"/>
  <c r="H63" i="1"/>
  <c r="M63" i="1" s="1"/>
  <c r="H62" i="1"/>
  <c r="M62" i="1" s="1"/>
  <c r="M61" i="1"/>
  <c r="L61" i="1"/>
  <c r="K61" i="1"/>
  <c r="J61" i="1"/>
  <c r="H61" i="1"/>
  <c r="I61" i="1" s="1"/>
  <c r="J60" i="1"/>
  <c r="H60" i="1"/>
  <c r="M60" i="1" s="1"/>
  <c r="H59" i="1"/>
  <c r="M59" i="1" s="1"/>
  <c r="M58" i="1"/>
  <c r="L58" i="1"/>
  <c r="H58" i="1"/>
  <c r="K58" i="1" s="1"/>
  <c r="L57" i="1"/>
  <c r="J57" i="1"/>
  <c r="H57" i="1"/>
  <c r="M57" i="1" s="1"/>
  <c r="J56" i="1"/>
  <c r="I56" i="1"/>
  <c r="H56" i="1"/>
  <c r="M56" i="1" s="1"/>
  <c r="H55" i="1"/>
  <c r="M55" i="1" s="1"/>
  <c r="H54" i="1"/>
  <c r="M54" i="1" s="1"/>
  <c r="M53" i="1"/>
  <c r="L53" i="1"/>
  <c r="K53" i="1"/>
  <c r="J53" i="1"/>
  <c r="H53" i="1"/>
  <c r="I53" i="1" s="1"/>
  <c r="J52" i="1"/>
  <c r="H52" i="1"/>
  <c r="M52" i="1" s="1"/>
  <c r="H51" i="1"/>
  <c r="M51" i="1" s="1"/>
  <c r="M50" i="1"/>
  <c r="L50" i="1"/>
  <c r="H50" i="1"/>
  <c r="K50" i="1" s="1"/>
  <c r="L49" i="1"/>
  <c r="J49" i="1"/>
  <c r="H49" i="1"/>
  <c r="M49" i="1" s="1"/>
  <c r="J48" i="1"/>
  <c r="I48" i="1"/>
  <c r="H48" i="1"/>
  <c r="M48" i="1" s="1"/>
  <c r="H47" i="1"/>
  <c r="M47" i="1" s="1"/>
  <c r="H46" i="1"/>
  <c r="M46" i="1" s="1"/>
  <c r="M45" i="1"/>
  <c r="L45" i="1"/>
  <c r="K45" i="1"/>
  <c r="J45" i="1"/>
  <c r="H45" i="1"/>
  <c r="I45" i="1" s="1"/>
  <c r="J44" i="1"/>
  <c r="H44" i="1"/>
  <c r="M44" i="1" s="1"/>
  <c r="H43" i="1"/>
  <c r="M43" i="1" s="1"/>
  <c r="M42" i="1"/>
  <c r="L42" i="1"/>
  <c r="H42" i="1"/>
  <c r="K42" i="1" s="1"/>
  <c r="L41" i="1"/>
  <c r="J41" i="1"/>
  <c r="H41" i="1"/>
  <c r="M41" i="1" s="1"/>
  <c r="J40" i="1"/>
  <c r="I40" i="1"/>
  <c r="H40" i="1"/>
  <c r="M40" i="1" s="1"/>
  <c r="H39" i="1"/>
  <c r="M39" i="1" s="1"/>
  <c r="H38" i="1"/>
  <c r="M38" i="1" s="1"/>
  <c r="M37" i="1"/>
  <c r="L37" i="1"/>
  <c r="K37" i="1"/>
  <c r="J37" i="1"/>
  <c r="H37" i="1"/>
  <c r="I37" i="1" s="1"/>
  <c r="J36" i="1"/>
  <c r="H36" i="1"/>
  <c r="M36" i="1" s="1"/>
  <c r="H35" i="1"/>
  <c r="M35" i="1" s="1"/>
  <c r="M34" i="1"/>
  <c r="L34" i="1"/>
  <c r="H34" i="1"/>
  <c r="K34" i="1" s="1"/>
  <c r="L33" i="1"/>
  <c r="J33" i="1"/>
  <c r="H33" i="1"/>
  <c r="M33" i="1" s="1"/>
  <c r="J32" i="1"/>
  <c r="I32" i="1"/>
  <c r="H32" i="1"/>
  <c r="M32" i="1" s="1"/>
  <c r="H31" i="1"/>
  <c r="M31" i="1" s="1"/>
  <c r="H30" i="1"/>
  <c r="M30" i="1" s="1"/>
  <c r="M29" i="1"/>
  <c r="L29" i="1"/>
  <c r="K29" i="1"/>
  <c r="J29" i="1"/>
  <c r="H29" i="1"/>
  <c r="I29" i="1" s="1"/>
  <c r="J28" i="1"/>
  <c r="H28" i="1"/>
  <c r="M28" i="1" s="1"/>
  <c r="H27" i="1"/>
  <c r="M27" i="1" s="1"/>
  <c r="M26" i="1"/>
  <c r="L26" i="1"/>
  <c r="H26" i="1"/>
  <c r="K26" i="1" s="1"/>
  <c r="L25" i="1"/>
  <c r="J25" i="1"/>
  <c r="H25" i="1"/>
  <c r="M25" i="1" s="1"/>
  <c r="J24" i="1"/>
  <c r="I24" i="1"/>
  <c r="H24" i="1"/>
  <c r="M24" i="1" s="1"/>
  <c r="H23" i="1"/>
  <c r="M23" i="1" s="1"/>
  <c r="H22" i="1"/>
  <c r="M22" i="1" s="1"/>
  <c r="M21" i="1"/>
  <c r="L21" i="1"/>
  <c r="K21" i="1"/>
  <c r="J21" i="1"/>
  <c r="H21" i="1"/>
  <c r="I21" i="1" s="1"/>
  <c r="J20" i="1"/>
  <c r="H20" i="1"/>
  <c r="M20" i="1" s="1"/>
  <c r="H19" i="1"/>
  <c r="M19" i="1" s="1"/>
  <c r="M18" i="1"/>
  <c r="L18" i="1"/>
  <c r="H18" i="1"/>
  <c r="K18" i="1" s="1"/>
  <c r="L17" i="1"/>
  <c r="J17" i="1"/>
  <c r="H17" i="1"/>
  <c r="M17" i="1" s="1"/>
  <c r="J16" i="1"/>
  <c r="I16" i="1"/>
  <c r="H16" i="1"/>
  <c r="M16" i="1" s="1"/>
  <c r="H15" i="1"/>
  <c r="M15" i="1" s="1"/>
  <c r="H14" i="1"/>
  <c r="M14" i="1" s="1"/>
  <c r="M13" i="1"/>
  <c r="L13" i="1"/>
  <c r="K13" i="1"/>
  <c r="J13" i="1"/>
  <c r="H13" i="1"/>
  <c r="I13" i="1" s="1"/>
  <c r="J12" i="1"/>
  <c r="H12" i="1"/>
  <c r="M12" i="1" s="1"/>
  <c r="H11" i="1"/>
  <c r="M11" i="1" s="1"/>
  <c r="M10" i="1"/>
  <c r="L10" i="1"/>
  <c r="H10" i="1"/>
  <c r="K10" i="1" s="1"/>
  <c r="L9" i="1"/>
  <c r="J9" i="1"/>
  <c r="H9" i="1"/>
  <c r="M9" i="1" s="1"/>
  <c r="J8" i="1"/>
  <c r="I8" i="1"/>
  <c r="H8" i="1"/>
  <c r="M8" i="1" s="1"/>
  <c r="H7" i="1"/>
  <c r="M7" i="1" s="1"/>
  <c r="M6" i="1"/>
  <c r="I6" i="1"/>
  <c r="H6" i="1"/>
  <c r="L6" i="1" s="1"/>
  <c r="M5" i="1"/>
  <c r="L5" i="1"/>
  <c r="H5" i="1"/>
  <c r="K5" i="1" s="1"/>
  <c r="M4" i="1"/>
  <c r="K4" i="1"/>
  <c r="H4" i="1"/>
  <c r="L4" i="1" s="1"/>
  <c r="M3" i="1"/>
  <c r="L3" i="1"/>
  <c r="K3" i="1"/>
  <c r="J3" i="1"/>
  <c r="H3" i="1"/>
  <c r="I3" i="1" s="1"/>
  <c r="M2" i="1"/>
  <c r="K2" i="1"/>
  <c r="I2" i="1"/>
  <c r="H2" i="1"/>
  <c r="L2" i="1" s="1"/>
  <c r="J6" i="2" l="1"/>
  <c r="K11" i="2"/>
  <c r="I14" i="2"/>
  <c r="K19" i="2"/>
  <c r="I22" i="2"/>
  <c r="K27" i="2"/>
  <c r="I30" i="2"/>
  <c r="K35" i="2"/>
  <c r="I38" i="2"/>
  <c r="K43" i="2"/>
  <c r="I46" i="2"/>
  <c r="K51" i="2"/>
  <c r="I54" i="2"/>
  <c r="K59" i="2"/>
  <c r="I62" i="2"/>
  <c r="K67" i="2"/>
  <c r="I70" i="2"/>
  <c r="K75" i="2"/>
  <c r="I78" i="2"/>
  <c r="K83" i="2"/>
  <c r="I86" i="2"/>
  <c r="K91" i="2"/>
  <c r="I94" i="2"/>
  <c r="K99" i="2"/>
  <c r="I102" i="2"/>
  <c r="K107" i="2"/>
  <c r="I110" i="2"/>
  <c r="K115" i="2"/>
  <c r="I118" i="2"/>
  <c r="I4" i="2"/>
  <c r="K6" i="2"/>
  <c r="L11" i="2"/>
  <c r="J14" i="2"/>
  <c r="L19" i="2"/>
  <c r="J22" i="2"/>
  <c r="L27" i="2"/>
  <c r="J30" i="2"/>
  <c r="L35" i="2"/>
  <c r="J38" i="2"/>
  <c r="L43" i="2"/>
  <c r="J46" i="2"/>
  <c r="L51" i="2"/>
  <c r="J54" i="2"/>
  <c r="L59" i="2"/>
  <c r="J62" i="2"/>
  <c r="L67" i="2"/>
  <c r="J70" i="2"/>
  <c r="L75" i="2"/>
  <c r="J78" i="2"/>
  <c r="L83" i="2"/>
  <c r="J86" i="2"/>
  <c r="L91" i="2"/>
  <c r="J94" i="2"/>
  <c r="L99" i="2"/>
  <c r="J102" i="2"/>
  <c r="L107" i="2"/>
  <c r="J110" i="2"/>
  <c r="L115" i="2"/>
  <c r="J118" i="2"/>
  <c r="L6" i="2"/>
  <c r="K14" i="2"/>
  <c r="K22" i="2"/>
  <c r="K30" i="2"/>
  <c r="K38" i="2"/>
  <c r="K46" i="2"/>
  <c r="K54" i="2"/>
  <c r="K62" i="2"/>
  <c r="K70" i="2"/>
  <c r="K78" i="2"/>
  <c r="K86" i="2"/>
  <c r="K94" i="2"/>
  <c r="K102" i="2"/>
  <c r="K110" i="2"/>
  <c r="K118" i="2"/>
  <c r="I2" i="2"/>
  <c r="K4" i="2"/>
  <c r="M6" i="2"/>
  <c r="J9" i="2"/>
  <c r="L14" i="2"/>
  <c r="J17" i="2"/>
  <c r="L22" i="2"/>
  <c r="J25" i="2"/>
  <c r="L30" i="2"/>
  <c r="J33" i="2"/>
  <c r="L38" i="2"/>
  <c r="J41" i="2"/>
  <c r="L46" i="2"/>
  <c r="J49" i="2"/>
  <c r="L54" i="2"/>
  <c r="J57" i="2"/>
  <c r="L62" i="2"/>
  <c r="J65" i="2"/>
  <c r="L70" i="2"/>
  <c r="J73" i="2"/>
  <c r="L78" i="2"/>
  <c r="J81" i="2"/>
  <c r="L86" i="2"/>
  <c r="J89" i="2"/>
  <c r="L94" i="2"/>
  <c r="J97" i="2"/>
  <c r="L102" i="2"/>
  <c r="J105" i="2"/>
  <c r="L110" i="2"/>
  <c r="J113" i="2"/>
  <c r="L118" i="2"/>
  <c r="J2" i="2"/>
  <c r="L4" i="2"/>
  <c r="K9" i="2"/>
  <c r="I12" i="2"/>
  <c r="K17" i="2"/>
  <c r="I20" i="2"/>
  <c r="K25" i="2"/>
  <c r="I28" i="2"/>
  <c r="K33" i="2"/>
  <c r="I36" i="2"/>
  <c r="K41" i="2"/>
  <c r="I44" i="2"/>
  <c r="K49" i="2"/>
  <c r="I52" i="2"/>
  <c r="K57" i="2"/>
  <c r="I60" i="2"/>
  <c r="K65" i="2"/>
  <c r="I68" i="2"/>
  <c r="K73" i="2"/>
  <c r="I76" i="2"/>
  <c r="K81" i="2"/>
  <c r="I84" i="2"/>
  <c r="K89" i="2"/>
  <c r="I92" i="2"/>
  <c r="K97" i="2"/>
  <c r="I100" i="2"/>
  <c r="K105" i="2"/>
  <c r="I108" i="2"/>
  <c r="K113" i="2"/>
  <c r="I116" i="2"/>
  <c r="K2" i="2"/>
  <c r="L9" i="2"/>
  <c r="J12" i="2"/>
  <c r="L17" i="2"/>
  <c r="J20" i="2"/>
  <c r="L25" i="2"/>
  <c r="J28" i="2"/>
  <c r="L33" i="2"/>
  <c r="J36" i="2"/>
  <c r="L41" i="2"/>
  <c r="J44" i="2"/>
  <c r="L49" i="2"/>
  <c r="J52" i="2"/>
  <c r="L57" i="2"/>
  <c r="J60" i="2"/>
  <c r="L65" i="2"/>
  <c r="J68" i="2"/>
  <c r="L73" i="2"/>
  <c r="J76" i="2"/>
  <c r="L81" i="2"/>
  <c r="J84" i="2"/>
  <c r="L89" i="2"/>
  <c r="J92" i="2"/>
  <c r="L97" i="2"/>
  <c r="J100" i="2"/>
  <c r="L105" i="2"/>
  <c r="J108" i="2"/>
  <c r="L113" i="2"/>
  <c r="J116" i="2"/>
  <c r="L2" i="2"/>
  <c r="I7" i="2"/>
  <c r="K12" i="2"/>
  <c r="I15" i="2"/>
  <c r="K20" i="2"/>
  <c r="I23" i="2"/>
  <c r="K28" i="2"/>
  <c r="I31" i="2"/>
  <c r="K36" i="2"/>
  <c r="I39" i="2"/>
  <c r="K44" i="2"/>
  <c r="I47" i="2"/>
  <c r="K52" i="2"/>
  <c r="I55" i="2"/>
  <c r="K60" i="2"/>
  <c r="I63" i="2"/>
  <c r="K68" i="2"/>
  <c r="I71" i="2"/>
  <c r="K76" i="2"/>
  <c r="I79" i="2"/>
  <c r="K84" i="2"/>
  <c r="I87" i="2"/>
  <c r="K92" i="2"/>
  <c r="I95" i="2"/>
  <c r="K100" i="2"/>
  <c r="I103" i="2"/>
  <c r="K108" i="2"/>
  <c r="I111" i="2"/>
  <c r="K116" i="2"/>
  <c r="I119" i="2"/>
  <c r="J7" i="2"/>
  <c r="L12" i="2"/>
  <c r="J15" i="2"/>
  <c r="L20" i="2"/>
  <c r="J23" i="2"/>
  <c r="L28" i="2"/>
  <c r="J31" i="2"/>
  <c r="L36" i="2"/>
  <c r="J39" i="2"/>
  <c r="L44" i="2"/>
  <c r="J47" i="2"/>
  <c r="L52" i="2"/>
  <c r="J55" i="2"/>
  <c r="L60" i="2"/>
  <c r="J63" i="2"/>
  <c r="L68" i="2"/>
  <c r="J71" i="2"/>
  <c r="L76" i="2"/>
  <c r="J79" i="2"/>
  <c r="L84" i="2"/>
  <c r="J87" i="2"/>
  <c r="L92" i="2"/>
  <c r="J95" i="2"/>
  <c r="L100" i="2"/>
  <c r="J103" i="2"/>
  <c r="L108" i="2"/>
  <c r="J111" i="2"/>
  <c r="L116" i="2"/>
  <c r="J119" i="2"/>
  <c r="I5" i="2"/>
  <c r="K7" i="2"/>
  <c r="I10" i="2"/>
  <c r="K15" i="2"/>
  <c r="I18" i="2"/>
  <c r="K23" i="2"/>
  <c r="I26" i="2"/>
  <c r="K31" i="2"/>
  <c r="I34" i="2"/>
  <c r="K39" i="2"/>
  <c r="I42" i="2"/>
  <c r="K47" i="2"/>
  <c r="I50" i="2"/>
  <c r="K55" i="2"/>
  <c r="I58" i="2"/>
  <c r="K63" i="2"/>
  <c r="I66" i="2"/>
  <c r="K71" i="2"/>
  <c r="I74" i="2"/>
  <c r="K79" i="2"/>
  <c r="I82" i="2"/>
  <c r="K87" i="2"/>
  <c r="I90" i="2"/>
  <c r="K95" i="2"/>
  <c r="I98" i="2"/>
  <c r="K103" i="2"/>
  <c r="I106" i="2"/>
  <c r="K111" i="2"/>
  <c r="I114" i="2"/>
  <c r="K119" i="2"/>
  <c r="L119" i="2"/>
  <c r="J112" i="1"/>
  <c r="K8" i="1"/>
  <c r="I11" i="1"/>
  <c r="K16" i="1"/>
  <c r="I19" i="1"/>
  <c r="K24" i="1"/>
  <c r="I27" i="1"/>
  <c r="K32" i="1"/>
  <c r="I35" i="1"/>
  <c r="K40" i="1"/>
  <c r="I43" i="1"/>
  <c r="K48" i="1"/>
  <c r="I51" i="1"/>
  <c r="K56" i="1"/>
  <c r="I59" i="1"/>
  <c r="K64" i="1"/>
  <c r="I67" i="1"/>
  <c r="K72" i="1"/>
  <c r="I75" i="1"/>
  <c r="K80" i="1"/>
  <c r="I83" i="1"/>
  <c r="K88" i="1"/>
  <c r="I91" i="1"/>
  <c r="K96" i="1"/>
  <c r="I99" i="1"/>
  <c r="K104" i="1"/>
  <c r="I107" i="1"/>
  <c r="K112" i="1"/>
  <c r="I115" i="1"/>
  <c r="L8" i="1"/>
  <c r="J11" i="1"/>
  <c r="L16" i="1"/>
  <c r="J19" i="1"/>
  <c r="L24" i="1"/>
  <c r="J27" i="1"/>
  <c r="L32" i="1"/>
  <c r="J35" i="1"/>
  <c r="L40" i="1"/>
  <c r="J43" i="1"/>
  <c r="L48" i="1"/>
  <c r="J51" i="1"/>
  <c r="L56" i="1"/>
  <c r="J59" i="1"/>
  <c r="L64" i="1"/>
  <c r="J67" i="1"/>
  <c r="L72" i="1"/>
  <c r="J75" i="1"/>
  <c r="L80" i="1"/>
  <c r="J83" i="1"/>
  <c r="L88" i="1"/>
  <c r="J91" i="1"/>
  <c r="L96" i="1"/>
  <c r="J99" i="1"/>
  <c r="L104" i="1"/>
  <c r="J107" i="1"/>
  <c r="L112" i="1"/>
  <c r="J115" i="1"/>
  <c r="J6" i="1"/>
  <c r="K11" i="1"/>
  <c r="I14" i="1"/>
  <c r="K19" i="1"/>
  <c r="I22" i="1"/>
  <c r="K27" i="1"/>
  <c r="I30" i="1"/>
  <c r="K35" i="1"/>
  <c r="I38" i="1"/>
  <c r="K43" i="1"/>
  <c r="I46" i="1"/>
  <c r="K51" i="1"/>
  <c r="I54" i="1"/>
  <c r="K59" i="1"/>
  <c r="I62" i="1"/>
  <c r="K67" i="1"/>
  <c r="I70" i="1"/>
  <c r="K75" i="1"/>
  <c r="I78" i="1"/>
  <c r="K83" i="1"/>
  <c r="I86" i="1"/>
  <c r="K91" i="1"/>
  <c r="I94" i="1"/>
  <c r="K99" i="1"/>
  <c r="I102" i="1"/>
  <c r="K107" i="1"/>
  <c r="I110" i="1"/>
  <c r="K115" i="1"/>
  <c r="I118" i="1"/>
  <c r="I4" i="1"/>
  <c r="K6" i="1"/>
  <c r="L11" i="1"/>
  <c r="J14" i="1"/>
  <c r="L19" i="1"/>
  <c r="J22" i="1"/>
  <c r="L27" i="1"/>
  <c r="J30" i="1"/>
  <c r="L35" i="1"/>
  <c r="J38" i="1"/>
  <c r="L43" i="1"/>
  <c r="J46" i="1"/>
  <c r="L51" i="1"/>
  <c r="J54" i="1"/>
  <c r="L59" i="1"/>
  <c r="J62" i="1"/>
  <c r="L67" i="1"/>
  <c r="J70" i="1"/>
  <c r="L75" i="1"/>
  <c r="J78" i="1"/>
  <c r="L83" i="1"/>
  <c r="J86" i="1"/>
  <c r="L91" i="1"/>
  <c r="J94" i="1"/>
  <c r="L99" i="1"/>
  <c r="J102" i="1"/>
  <c r="L107" i="1"/>
  <c r="J110" i="1"/>
  <c r="L115" i="1"/>
  <c r="J118" i="1"/>
  <c r="J4" i="1"/>
  <c r="I9" i="1"/>
  <c r="K14" i="1"/>
  <c r="I17" i="1"/>
  <c r="K22" i="1"/>
  <c r="I25" i="1"/>
  <c r="K30" i="1"/>
  <c r="I33" i="1"/>
  <c r="K38" i="1"/>
  <c r="I41" i="1"/>
  <c r="K46" i="1"/>
  <c r="I49" i="1"/>
  <c r="K54" i="1"/>
  <c r="I57" i="1"/>
  <c r="K62" i="1"/>
  <c r="I65" i="1"/>
  <c r="K70" i="1"/>
  <c r="I73" i="1"/>
  <c r="K78" i="1"/>
  <c r="I81" i="1"/>
  <c r="K86" i="1"/>
  <c r="I89" i="1"/>
  <c r="K94" i="1"/>
  <c r="I97" i="1"/>
  <c r="K102" i="1"/>
  <c r="I105" i="1"/>
  <c r="K110" i="1"/>
  <c r="I113" i="1"/>
  <c r="K118" i="1"/>
  <c r="L14" i="1"/>
  <c r="L22" i="1"/>
  <c r="L30" i="1"/>
  <c r="L38" i="1"/>
  <c r="L46" i="1"/>
  <c r="L54" i="1"/>
  <c r="L62" i="1"/>
  <c r="L70" i="1"/>
  <c r="L78" i="1"/>
  <c r="L86" i="1"/>
  <c r="L94" i="1"/>
  <c r="L102" i="1"/>
  <c r="L110" i="1"/>
  <c r="L118" i="1"/>
  <c r="J2" i="1"/>
  <c r="P1" i="1" s="1"/>
  <c r="K9" i="1"/>
  <c r="I12" i="1"/>
  <c r="K17" i="1"/>
  <c r="I20" i="1"/>
  <c r="K25" i="1"/>
  <c r="I28" i="1"/>
  <c r="K33" i="1"/>
  <c r="I36" i="1"/>
  <c r="K41" i="1"/>
  <c r="I44" i="1"/>
  <c r="K49" i="1"/>
  <c r="I52" i="1"/>
  <c r="K57" i="1"/>
  <c r="I60" i="1"/>
  <c r="K65" i="1"/>
  <c r="I68" i="1"/>
  <c r="K73" i="1"/>
  <c r="I76" i="1"/>
  <c r="K81" i="1"/>
  <c r="I84" i="1"/>
  <c r="K89" i="1"/>
  <c r="I92" i="1"/>
  <c r="K97" i="1"/>
  <c r="I100" i="1"/>
  <c r="K105" i="1"/>
  <c r="I108" i="1"/>
  <c r="K113" i="1"/>
  <c r="I116" i="1"/>
  <c r="I7" i="1"/>
  <c r="K12" i="1"/>
  <c r="I15" i="1"/>
  <c r="K20" i="1"/>
  <c r="I23" i="1"/>
  <c r="K28" i="1"/>
  <c r="I31" i="1"/>
  <c r="K36" i="1"/>
  <c r="I39" i="1"/>
  <c r="K44" i="1"/>
  <c r="I47" i="1"/>
  <c r="K52" i="1"/>
  <c r="I55" i="1"/>
  <c r="K60" i="1"/>
  <c r="I63" i="1"/>
  <c r="K68" i="1"/>
  <c r="I71" i="1"/>
  <c r="K76" i="1"/>
  <c r="I79" i="1"/>
  <c r="K84" i="1"/>
  <c r="I87" i="1"/>
  <c r="K92" i="1"/>
  <c r="I95" i="1"/>
  <c r="K100" i="1"/>
  <c r="I103" i="1"/>
  <c r="K108" i="1"/>
  <c r="I111" i="1"/>
  <c r="K116" i="1"/>
  <c r="I119" i="1"/>
  <c r="J7" i="1"/>
  <c r="L12" i="1"/>
  <c r="J15" i="1"/>
  <c r="L20" i="1"/>
  <c r="J23" i="1"/>
  <c r="L28" i="1"/>
  <c r="J31" i="1"/>
  <c r="L36" i="1"/>
  <c r="J39" i="1"/>
  <c r="L44" i="1"/>
  <c r="J47" i="1"/>
  <c r="L52" i="1"/>
  <c r="J55" i="1"/>
  <c r="L60" i="1"/>
  <c r="J63" i="1"/>
  <c r="L68" i="1"/>
  <c r="J71" i="1"/>
  <c r="L76" i="1"/>
  <c r="J79" i="1"/>
  <c r="L84" i="1"/>
  <c r="J87" i="1"/>
  <c r="L92" i="1"/>
  <c r="J95" i="1"/>
  <c r="L100" i="1"/>
  <c r="J103" i="1"/>
  <c r="L108" i="1"/>
  <c r="J111" i="1"/>
  <c r="L116" i="1"/>
  <c r="J119" i="1"/>
  <c r="I5" i="1"/>
  <c r="K7" i="1"/>
  <c r="I10" i="1"/>
  <c r="K15" i="1"/>
  <c r="I18" i="1"/>
  <c r="K23" i="1"/>
  <c r="I26" i="1"/>
  <c r="K31" i="1"/>
  <c r="I34" i="1"/>
  <c r="K39" i="1"/>
  <c r="I42" i="1"/>
  <c r="K47" i="1"/>
  <c r="I50" i="1"/>
  <c r="K55" i="1"/>
  <c r="I58" i="1"/>
  <c r="K63" i="1"/>
  <c r="I66" i="1"/>
  <c r="K71" i="1"/>
  <c r="I74" i="1"/>
  <c r="K79" i="1"/>
  <c r="I82" i="1"/>
  <c r="K87" i="1"/>
  <c r="I90" i="1"/>
  <c r="K95" i="1"/>
  <c r="I98" i="1"/>
  <c r="K103" i="1"/>
  <c r="I106" i="1"/>
  <c r="K111" i="1"/>
  <c r="I114" i="1"/>
  <c r="K119" i="1"/>
  <c r="J5" i="1"/>
  <c r="L7" i="1"/>
  <c r="J10" i="1"/>
  <c r="L15" i="1"/>
  <c r="J18" i="1"/>
  <c r="L23" i="1"/>
  <c r="J26" i="1"/>
  <c r="L31" i="1"/>
  <c r="J34" i="1"/>
  <c r="L39" i="1"/>
  <c r="J42" i="1"/>
  <c r="L47" i="1"/>
  <c r="J50" i="1"/>
  <c r="L55" i="1"/>
  <c r="J58" i="1"/>
  <c r="L63" i="1"/>
  <c r="J66" i="1"/>
  <c r="L71" i="1"/>
  <c r="J74" i="1"/>
  <c r="L79" i="1"/>
  <c r="J82" i="1"/>
  <c r="L87" i="1"/>
  <c r="J90" i="1"/>
  <c r="L95" i="1"/>
  <c r="J98" i="1"/>
  <c r="L103" i="1"/>
  <c r="J106" i="1"/>
  <c r="L111" i="1"/>
  <c r="J114" i="1"/>
  <c r="L119" i="1"/>
  <c r="P1" i="2" l="1"/>
  <c r="P2" i="1"/>
  <c r="P4" i="1"/>
  <c r="P6" i="1"/>
  <c r="P3" i="1"/>
  <c r="P5" i="1"/>
  <c r="P2" i="2" l="1"/>
  <c r="P3" i="2"/>
  <c r="P4" i="2"/>
  <c r="P6" i="2"/>
  <c r="P5" i="2"/>
</calcChain>
</file>

<file path=xl/sharedStrings.xml><?xml version="1.0" encoding="utf-8"?>
<sst xmlns="http://schemas.openxmlformats.org/spreadsheetml/2006/main" count="272" uniqueCount="229">
  <si>
    <t>Isotope</t>
  </si>
  <si>
    <t>Np</t>
  </si>
  <si>
    <t>Nn</t>
  </si>
  <si>
    <t>Actual_HL(s)</t>
  </si>
  <si>
    <t>Predicted_HL(s)</t>
  </si>
  <si>
    <t>Error</t>
  </si>
  <si>
    <t>相对误差</t>
  </si>
  <si>
    <t>&gt;10</t>
  </si>
  <si>
    <t>&gt;1</t>
  </si>
  <si>
    <t>&gt;0.5</t>
  </si>
  <si>
    <t>&gt;0.1</t>
  </si>
  <si>
    <t>&gt;0</t>
  </si>
  <si>
    <t>总数</t>
  </si>
  <si>
    <t>B14</t>
  </si>
  <si>
    <t>C16</t>
  </si>
  <si>
    <t>N18</t>
  </si>
  <si>
    <t>F29</t>
  </si>
  <si>
    <t>Na32</t>
  </si>
  <si>
    <t>Al31</t>
  </si>
  <si>
    <t>Si31</t>
  </si>
  <si>
    <t>P44</t>
  </si>
  <si>
    <t>S43</t>
  </si>
  <si>
    <t>K46</t>
  </si>
  <si>
    <t>K48</t>
  </si>
  <si>
    <t>Ca53</t>
  </si>
  <si>
    <t>Sc49</t>
  </si>
  <si>
    <t>Sc55</t>
  </si>
  <si>
    <t>Ti58</t>
  </si>
  <si>
    <t>Ti54</t>
  </si>
  <si>
    <t>V59</t>
  </si>
  <si>
    <t>Cr59</t>
  </si>
  <si>
    <t>Mn58</t>
  </si>
  <si>
    <t>Mn62</t>
  </si>
  <si>
    <t>Mn56</t>
  </si>
  <si>
    <t>Fe66</t>
  </si>
  <si>
    <t>Co68</t>
  </si>
  <si>
    <t>Ni65</t>
  </si>
  <si>
    <t>Ni76</t>
  </si>
  <si>
    <t>Cu66</t>
  </si>
  <si>
    <t>Zn76</t>
  </si>
  <si>
    <t>Ga80</t>
  </si>
  <si>
    <t>As87</t>
  </si>
  <si>
    <t>As84</t>
  </si>
  <si>
    <t>Se85</t>
  </si>
  <si>
    <t>Se86</t>
  </si>
  <si>
    <t>Br94</t>
  </si>
  <si>
    <t>Kr100</t>
  </si>
  <si>
    <t>Rb91</t>
  </si>
  <si>
    <t>Rb84</t>
  </si>
  <si>
    <t>Rb86</t>
  </si>
  <si>
    <t>Rb97</t>
  </si>
  <si>
    <t>Sr91</t>
  </si>
  <si>
    <t>Nb113</t>
  </si>
  <si>
    <t>Nb112</t>
  </si>
  <si>
    <t>Nb111</t>
  </si>
  <si>
    <t>Nb96</t>
  </si>
  <si>
    <t>Tc114</t>
  </si>
  <si>
    <t>Rh116</t>
  </si>
  <si>
    <t>Rh105</t>
  </si>
  <si>
    <t>Rh113</t>
  </si>
  <si>
    <t>Rh109</t>
  </si>
  <si>
    <t>Pd117</t>
  </si>
  <si>
    <t>Pd111</t>
  </si>
  <si>
    <t>Ag128</t>
  </si>
  <si>
    <t>Ag122</t>
  </si>
  <si>
    <t>Ag119</t>
  </si>
  <si>
    <t>Ag124</t>
  </si>
  <si>
    <t>Ag115</t>
  </si>
  <si>
    <t>Cd124</t>
  </si>
  <si>
    <t>Cd127</t>
  </si>
  <si>
    <t>In129</t>
  </si>
  <si>
    <t>Sn130</t>
  </si>
  <si>
    <t>Sb136</t>
  </si>
  <si>
    <t>Sb137</t>
  </si>
  <si>
    <t>I133</t>
  </si>
  <si>
    <t>I138</t>
  </si>
  <si>
    <t>I135</t>
  </si>
  <si>
    <t>Xe133</t>
  </si>
  <si>
    <t>Xe135</t>
  </si>
  <si>
    <t>Xe147</t>
  </si>
  <si>
    <t>Cs143</t>
  </si>
  <si>
    <t>Ba140</t>
  </si>
  <si>
    <t>Ba145</t>
  </si>
  <si>
    <t>La152</t>
  </si>
  <si>
    <t>La147</t>
  </si>
  <si>
    <t>Nd156</t>
  </si>
  <si>
    <t>Pm153</t>
  </si>
  <si>
    <t>Pm163</t>
  </si>
  <si>
    <t>Sm167</t>
  </si>
  <si>
    <t>Sm157</t>
  </si>
  <si>
    <t>Eu170</t>
  </si>
  <si>
    <t>Eu164</t>
  </si>
  <si>
    <t>Eu159</t>
  </si>
  <si>
    <t>Eu162</t>
  </si>
  <si>
    <t>Gd161</t>
  </si>
  <si>
    <t>Tb167</t>
  </si>
  <si>
    <t>Dy167</t>
  </si>
  <si>
    <t>Tm176</t>
  </si>
  <si>
    <t>Tm172</t>
  </si>
  <si>
    <t>Yb175</t>
  </si>
  <si>
    <t>Yb179</t>
  </si>
  <si>
    <t>Hf181</t>
  </si>
  <si>
    <t>Ta180</t>
  </si>
  <si>
    <t>Ta187</t>
  </si>
  <si>
    <t>W188</t>
  </si>
  <si>
    <t>Os191</t>
  </si>
  <si>
    <t>Ir200</t>
  </si>
  <si>
    <t>Ir199</t>
  </si>
  <si>
    <t>Pt199</t>
  </si>
  <si>
    <t>Au201</t>
  </si>
  <si>
    <t>Au199</t>
  </si>
  <si>
    <t>Au206</t>
  </si>
  <si>
    <t>Hg208</t>
  </si>
  <si>
    <t>Hg209</t>
  </si>
  <si>
    <t>Tl212</t>
  </si>
  <si>
    <t>Tl210</t>
  </si>
  <si>
    <t>Pb218</t>
  </si>
  <si>
    <t>Pb214</t>
  </si>
  <si>
    <t>Bi210</t>
  </si>
  <si>
    <t>At222</t>
  </si>
  <si>
    <t>Ra229</t>
  </si>
  <si>
    <t>Ra234</t>
  </si>
  <si>
    <t>Ac234</t>
  </si>
  <si>
    <t>Ac229</t>
  </si>
  <si>
    <t>Ac236</t>
  </si>
  <si>
    <t>Pa233</t>
  </si>
  <si>
    <t>Pa236</t>
  </si>
  <si>
    <t>Pa239</t>
  </si>
  <si>
    <t>U239</t>
  </si>
  <si>
    <t>Cm249</t>
  </si>
  <si>
    <t>Cf255</t>
  </si>
  <si>
    <t>Og1</t>
  </si>
  <si>
    <t>Be14</t>
  </si>
  <si>
    <t>B17</t>
  </si>
  <si>
    <t>N16</t>
  </si>
  <si>
    <t>O20</t>
  </si>
  <si>
    <t>Ne25</t>
  </si>
  <si>
    <t>Ne28</t>
  </si>
  <si>
    <t>Al35</t>
  </si>
  <si>
    <t>Al38</t>
  </si>
  <si>
    <t>Al28</t>
  </si>
  <si>
    <t>P36</t>
  </si>
  <si>
    <t>S41</t>
  </si>
  <si>
    <t>S45</t>
  </si>
  <si>
    <t>Cl41</t>
  </si>
  <si>
    <t>Ar49</t>
  </si>
  <si>
    <t>Ar45</t>
  </si>
  <si>
    <t>Ar46</t>
  </si>
  <si>
    <t>K47</t>
  </si>
  <si>
    <t>Ca55</t>
  </si>
  <si>
    <t>Ca54</t>
  </si>
  <si>
    <t>Sc57</t>
  </si>
  <si>
    <t>Ti55</t>
  </si>
  <si>
    <t>Ti51</t>
  </si>
  <si>
    <t>V56</t>
  </si>
  <si>
    <t>Mn68</t>
  </si>
  <si>
    <t>Mn70</t>
  </si>
  <si>
    <t>Mn63</t>
  </si>
  <si>
    <t>Fe73</t>
  </si>
  <si>
    <t>Co71</t>
  </si>
  <si>
    <t>Ni67</t>
  </si>
  <si>
    <t>Ga76</t>
  </si>
  <si>
    <t>Ga72</t>
  </si>
  <si>
    <t>Ge79</t>
  </si>
  <si>
    <t>As77</t>
  </si>
  <si>
    <t>As74</t>
  </si>
  <si>
    <t>As81</t>
  </si>
  <si>
    <t>Br90</t>
  </si>
  <si>
    <t>Kr98</t>
  </si>
  <si>
    <t>Y104</t>
  </si>
  <si>
    <t>Y96</t>
  </si>
  <si>
    <t>Y93</t>
  </si>
  <si>
    <t>Zr107</t>
  </si>
  <si>
    <t>Nb114</t>
  </si>
  <si>
    <t>Nb109</t>
  </si>
  <si>
    <t>Nb95</t>
  </si>
  <si>
    <t>Tc120</t>
  </si>
  <si>
    <t>Tc105</t>
  </si>
  <si>
    <t>Tc107</t>
  </si>
  <si>
    <t>Ru120</t>
  </si>
  <si>
    <t>Ru105</t>
  </si>
  <si>
    <t>Rh117</t>
  </si>
  <si>
    <t>Pd114</t>
  </si>
  <si>
    <t>Cd133</t>
  </si>
  <si>
    <t>In134</t>
  </si>
  <si>
    <t>In121</t>
  </si>
  <si>
    <t>In112</t>
  </si>
  <si>
    <t>Sn131</t>
  </si>
  <si>
    <t>Sb124</t>
  </si>
  <si>
    <t>Sb134</t>
  </si>
  <si>
    <t>Sb140</t>
  </si>
  <si>
    <t>I141</t>
  </si>
  <si>
    <t>I139</t>
  </si>
  <si>
    <t>Xe137</t>
  </si>
  <si>
    <t>Xe146</t>
  </si>
  <si>
    <t>Xe148</t>
  </si>
  <si>
    <t>Cs145</t>
  </si>
  <si>
    <t>Cs149</t>
  </si>
  <si>
    <t>Ba147</t>
  </si>
  <si>
    <t>La145</t>
  </si>
  <si>
    <t>Ce145</t>
  </si>
  <si>
    <t>Ce156</t>
  </si>
  <si>
    <t>Pr154</t>
  </si>
  <si>
    <t>Pr150</t>
  </si>
  <si>
    <t>Nd149</t>
  </si>
  <si>
    <t>Nd159</t>
  </si>
  <si>
    <t>Sm159</t>
  </si>
  <si>
    <t>Eu161</t>
  </si>
  <si>
    <t>Tb164</t>
  </si>
  <si>
    <t>Dy165</t>
  </si>
  <si>
    <t>Dy172</t>
  </si>
  <si>
    <t>Ho167</t>
  </si>
  <si>
    <t>Ho172</t>
  </si>
  <si>
    <t>Lu182</t>
  </si>
  <si>
    <t>W187</t>
  </si>
  <si>
    <t>W190</t>
  </si>
  <si>
    <t>Ir201</t>
  </si>
  <si>
    <t>Au205</t>
  </si>
  <si>
    <t>Tl213</t>
  </si>
  <si>
    <t>Pb216</t>
  </si>
  <si>
    <t>Pb213</t>
  </si>
  <si>
    <t>At219</t>
  </si>
  <si>
    <t>Rn226</t>
  </si>
  <si>
    <t>Rn225</t>
  </si>
  <si>
    <t>Ra227</t>
  </si>
  <si>
    <t>Ra232</t>
  </si>
  <si>
    <t>Np242</t>
  </si>
  <si>
    <t>Am244</t>
  </si>
  <si>
    <t>Es257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</si>
</sst>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176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176" fontId="0" fillId="0" borderId="0" xfId="0" applyNumberFormat="1" applyAlignment="1">
      <alignment vertical="center"/>
    </xf>
  </cellXfs>
  <cellStyles count="1">
    <cellStyle name="常规" xfId="0" builtinId="0"/>
  </cellStyles>
  <dxfs count="10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9"/>
  <sheetViews>
    <sheetView workbookViewId="0">
      <selection activeCell="H10" sqref="H10"/>
    </sheetView>
  </sheetViews>
  <sheetFormatPr defaultRowHeight="14" x14ac:dyDescent="0.3"/>
  <cols>
    <col min="1" max="7" width="8.6640625" style="2"/>
    <col min="8" max="8" width="8.6640625" style="5"/>
    <col min="9" max="16384" width="8.6640625" style="2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3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O1" s="1" t="s">
        <v>12</v>
      </c>
      <c r="P1" s="1">
        <f>SUM(I:M)</f>
        <v>118</v>
      </c>
    </row>
    <row r="2" spans="1:16" x14ac:dyDescent="0.3">
      <c r="A2" s="1" t="s">
        <v>13</v>
      </c>
      <c r="B2" s="1">
        <v>5</v>
      </c>
      <c r="C2" s="1">
        <v>9</v>
      </c>
      <c r="D2" s="1">
        <v>1.234E-2</v>
      </c>
      <c r="E2" s="1">
        <v>6.9023390000000004E-2</v>
      </c>
      <c r="F2" s="1">
        <v>9.3955330000000004E-2</v>
      </c>
      <c r="H2" s="3">
        <f>ABS(D2-E2)/D2</f>
        <v>4.5934675850891411</v>
      </c>
      <c r="I2" s="1">
        <f>IF(H2&gt;10,1,0)</f>
        <v>0</v>
      </c>
      <c r="J2" s="1">
        <f>IF(AND(H2&lt;=10,H2&gt;1),1,0)</f>
        <v>1</v>
      </c>
      <c r="K2" s="1">
        <f>IF(AND(H2&lt;=1,H2&gt;0.5),1,0)</f>
        <v>0</v>
      </c>
      <c r="L2" s="1">
        <f>IF(AND(H2&lt;=0.5,H2&gt;0.1),1,0)</f>
        <v>0</v>
      </c>
      <c r="M2" s="1">
        <f>IF(AND(H2&lt;=0.1),1,0)</f>
        <v>0</v>
      </c>
      <c r="O2" s="1" t="s">
        <v>7</v>
      </c>
      <c r="P2" s="4">
        <f>SUM(I:I)/P1</f>
        <v>5.0847457627118647E-2</v>
      </c>
    </row>
    <row r="3" spans="1:16" x14ac:dyDescent="0.3">
      <c r="A3" s="1" t="s">
        <v>14</v>
      </c>
      <c r="B3" s="1">
        <v>6</v>
      </c>
      <c r="C3" s="1">
        <v>10</v>
      </c>
      <c r="D3" s="1">
        <v>0.75</v>
      </c>
      <c r="E3" s="1">
        <v>1.7541747999999999</v>
      </c>
      <c r="F3" s="1">
        <v>2.3878002</v>
      </c>
      <c r="H3" s="3">
        <f t="shared" ref="H3:H66" si="0">ABS(D3-E3)/D3</f>
        <v>1.3388997333333332</v>
      </c>
      <c r="I3" s="1">
        <f t="shared" ref="I3:I66" si="1">IF(H3&gt;10,1,0)</f>
        <v>0</v>
      </c>
      <c r="J3" s="1">
        <f t="shared" ref="J3:J66" si="2">IF(AND(H3&lt;=10,H3&gt;1),1,0)</f>
        <v>1</v>
      </c>
      <c r="K3" s="1">
        <f t="shared" ref="K3:K66" si="3">IF(AND(H3&lt;=1,H3&gt;0.5),1,0)</f>
        <v>0</v>
      </c>
      <c r="L3" s="1">
        <f t="shared" ref="L3:L66" si="4">IF(AND(H3&lt;=0.5,H3&gt;0.1),1,0)</f>
        <v>0</v>
      </c>
      <c r="M3" s="1">
        <f t="shared" ref="M3:M66" si="5">IF(AND(H3&lt;=0.1),1,0)</f>
        <v>0</v>
      </c>
      <c r="O3" s="1" t="s">
        <v>8</v>
      </c>
      <c r="P3" s="4">
        <f>SUM(J:J)/P1</f>
        <v>0.25423728813559321</v>
      </c>
    </row>
    <row r="4" spans="1:16" x14ac:dyDescent="0.3">
      <c r="A4" s="1" t="s">
        <v>15</v>
      </c>
      <c r="B4" s="1">
        <v>7</v>
      </c>
      <c r="C4" s="1">
        <v>11</v>
      </c>
      <c r="D4" s="1">
        <v>0.61899999999999999</v>
      </c>
      <c r="E4" s="1">
        <v>5.6832913999999999</v>
      </c>
      <c r="F4" s="1">
        <v>7.7361529999999998</v>
      </c>
      <c r="H4" s="3">
        <f t="shared" si="0"/>
        <v>8.1814077544426489</v>
      </c>
      <c r="I4" s="1">
        <f t="shared" si="1"/>
        <v>0</v>
      </c>
      <c r="J4" s="1">
        <f t="shared" si="2"/>
        <v>1</v>
      </c>
      <c r="K4" s="1">
        <f t="shared" si="3"/>
        <v>0</v>
      </c>
      <c r="L4" s="1">
        <f t="shared" si="4"/>
        <v>0</v>
      </c>
      <c r="M4" s="1">
        <f t="shared" si="5"/>
        <v>0</v>
      </c>
      <c r="O4" s="1" t="s">
        <v>9</v>
      </c>
      <c r="P4" s="4">
        <f>SUM(K:K)/P1</f>
        <v>0.38135593220338981</v>
      </c>
    </row>
    <row r="5" spans="1:16" x14ac:dyDescent="0.3">
      <c r="A5" s="1" t="s">
        <v>16</v>
      </c>
      <c r="B5" s="1">
        <v>9</v>
      </c>
      <c r="C5" s="1">
        <v>20</v>
      </c>
      <c r="D5" s="1">
        <v>3.3E-3</v>
      </c>
      <c r="E5" s="1">
        <v>1.0994479E-2</v>
      </c>
      <c r="F5" s="1">
        <v>1.4965795E-2</v>
      </c>
      <c r="H5" s="3">
        <f t="shared" si="0"/>
        <v>2.3316603030303029</v>
      </c>
      <c r="I5" s="1">
        <f t="shared" si="1"/>
        <v>0</v>
      </c>
      <c r="J5" s="1">
        <f t="shared" si="2"/>
        <v>1</v>
      </c>
      <c r="K5" s="1">
        <f t="shared" si="3"/>
        <v>0</v>
      </c>
      <c r="L5" s="1">
        <f t="shared" si="4"/>
        <v>0</v>
      </c>
      <c r="M5" s="1">
        <f t="shared" si="5"/>
        <v>0</v>
      </c>
      <c r="O5" s="1" t="s">
        <v>10</v>
      </c>
      <c r="P5" s="4">
        <f>SUM(L:L)/P1</f>
        <v>0.26271186440677968</v>
      </c>
    </row>
    <row r="6" spans="1:16" x14ac:dyDescent="0.3">
      <c r="A6" s="1" t="s">
        <v>17</v>
      </c>
      <c r="B6" s="1">
        <v>11</v>
      </c>
      <c r="C6" s="1">
        <v>21</v>
      </c>
      <c r="D6" s="1">
        <v>1.3199997999999999E-2</v>
      </c>
      <c r="E6" s="1">
        <v>2.3163974E-2</v>
      </c>
      <c r="F6" s="1">
        <v>3.1531032000000001E-2</v>
      </c>
      <c r="H6" s="3">
        <f t="shared" si="0"/>
        <v>0.75484678103739122</v>
      </c>
      <c r="I6" s="1">
        <f t="shared" si="1"/>
        <v>0</v>
      </c>
      <c r="J6" s="1">
        <f t="shared" si="2"/>
        <v>0</v>
      </c>
      <c r="K6" s="1">
        <f t="shared" si="3"/>
        <v>1</v>
      </c>
      <c r="L6" s="1">
        <f t="shared" si="4"/>
        <v>0</v>
      </c>
      <c r="M6" s="1">
        <f t="shared" si="5"/>
        <v>0</v>
      </c>
      <c r="O6" s="1" t="s">
        <v>11</v>
      </c>
      <c r="P6" s="4">
        <f>SUM(M:M)/P1</f>
        <v>5.0847457627118647E-2</v>
      </c>
    </row>
    <row r="7" spans="1:16" x14ac:dyDescent="0.3">
      <c r="A7" s="1" t="s">
        <v>18</v>
      </c>
      <c r="B7" s="1">
        <v>13</v>
      </c>
      <c r="C7" s="1">
        <v>18</v>
      </c>
      <c r="D7" s="1">
        <v>0.64400000000000002</v>
      </c>
      <c r="E7" s="1">
        <v>1.335966</v>
      </c>
      <c r="F7" s="1">
        <v>1.8185302000000001</v>
      </c>
      <c r="H7" s="3">
        <f t="shared" si="0"/>
        <v>1.0744813664596273</v>
      </c>
      <c r="I7" s="1">
        <f t="shared" si="1"/>
        <v>0</v>
      </c>
      <c r="J7" s="1">
        <f t="shared" si="2"/>
        <v>1</v>
      </c>
      <c r="K7" s="1">
        <f t="shared" si="3"/>
        <v>0</v>
      </c>
      <c r="L7" s="1">
        <f t="shared" si="4"/>
        <v>0</v>
      </c>
      <c r="M7" s="1">
        <f t="shared" si="5"/>
        <v>0</v>
      </c>
    </row>
    <row r="8" spans="1:16" x14ac:dyDescent="0.3">
      <c r="A8" s="1" t="s">
        <v>19</v>
      </c>
      <c r="B8" s="1">
        <v>14</v>
      </c>
      <c r="C8" s="1">
        <v>17</v>
      </c>
      <c r="D8" s="1">
        <v>9434.3989999999994</v>
      </c>
      <c r="E8" s="1">
        <v>5478.2939999999999</v>
      </c>
      <c r="F8" s="1">
        <v>7457.1084000000001</v>
      </c>
      <c r="H8" s="3">
        <f t="shared" si="0"/>
        <v>0.41932771764263943</v>
      </c>
      <c r="I8" s="1">
        <f t="shared" si="1"/>
        <v>0</v>
      </c>
      <c r="J8" s="1">
        <f t="shared" si="2"/>
        <v>0</v>
      </c>
      <c r="K8" s="1">
        <f t="shared" si="3"/>
        <v>0</v>
      </c>
      <c r="L8" s="1">
        <f t="shared" si="4"/>
        <v>1</v>
      </c>
      <c r="M8" s="1">
        <f t="shared" si="5"/>
        <v>0</v>
      </c>
    </row>
    <row r="9" spans="1:16" x14ac:dyDescent="0.3">
      <c r="A9" s="1" t="s">
        <v>20</v>
      </c>
      <c r="B9" s="1">
        <v>15</v>
      </c>
      <c r="C9" s="1">
        <v>29</v>
      </c>
      <c r="D9" s="1">
        <v>1.8200000000000001E-2</v>
      </c>
      <c r="E9" s="1">
        <v>2.1102889E-2</v>
      </c>
      <c r="F9" s="1">
        <v>2.8725462E-2</v>
      </c>
      <c r="H9" s="3">
        <f t="shared" si="0"/>
        <v>0.15949939560439552</v>
      </c>
      <c r="I9" s="1">
        <f t="shared" si="1"/>
        <v>0</v>
      </c>
      <c r="J9" s="1">
        <f t="shared" si="2"/>
        <v>0</v>
      </c>
      <c r="K9" s="1">
        <f t="shared" si="3"/>
        <v>0</v>
      </c>
      <c r="L9" s="1">
        <f t="shared" si="4"/>
        <v>1</v>
      </c>
      <c r="M9" s="1">
        <f t="shared" si="5"/>
        <v>0</v>
      </c>
    </row>
    <row r="10" spans="1:16" x14ac:dyDescent="0.3">
      <c r="A10" s="1" t="s">
        <v>21</v>
      </c>
      <c r="B10" s="1">
        <v>16</v>
      </c>
      <c r="C10" s="1">
        <v>27</v>
      </c>
      <c r="D10" s="1">
        <v>0.26500000000000001</v>
      </c>
      <c r="E10" s="1">
        <v>0.27849160000000001</v>
      </c>
      <c r="F10" s="1">
        <v>0.37908554</v>
      </c>
      <c r="H10" s="3">
        <f t="shared" si="0"/>
        <v>5.0911698113207518E-2</v>
      </c>
      <c r="I10" s="1">
        <f t="shared" si="1"/>
        <v>0</v>
      </c>
      <c r="J10" s="1">
        <f t="shared" si="2"/>
        <v>0</v>
      </c>
      <c r="K10" s="1">
        <f t="shared" si="3"/>
        <v>0</v>
      </c>
      <c r="L10" s="1">
        <f t="shared" si="4"/>
        <v>0</v>
      </c>
      <c r="M10" s="1">
        <f t="shared" si="5"/>
        <v>1</v>
      </c>
    </row>
    <row r="11" spans="1:16" x14ac:dyDescent="0.3">
      <c r="A11" s="1" t="s">
        <v>22</v>
      </c>
      <c r="B11" s="1">
        <v>19</v>
      </c>
      <c r="C11" s="1">
        <v>27</v>
      </c>
      <c r="D11" s="1">
        <v>96.310010000000005</v>
      </c>
      <c r="E11" s="1">
        <v>198.40422000000001</v>
      </c>
      <c r="F11" s="1">
        <v>270.06979999999999</v>
      </c>
      <c r="H11" s="3">
        <f t="shared" si="0"/>
        <v>1.0600581393356723</v>
      </c>
      <c r="I11" s="1">
        <f t="shared" si="1"/>
        <v>0</v>
      </c>
      <c r="J11" s="1">
        <f t="shared" si="2"/>
        <v>1</v>
      </c>
      <c r="K11" s="1">
        <f t="shared" si="3"/>
        <v>0</v>
      </c>
      <c r="L11" s="1">
        <f t="shared" si="4"/>
        <v>0</v>
      </c>
      <c r="M11" s="1">
        <f t="shared" si="5"/>
        <v>0</v>
      </c>
    </row>
    <row r="12" spans="1:16" x14ac:dyDescent="0.3">
      <c r="A12" s="1" t="s">
        <v>23</v>
      </c>
      <c r="B12" s="1">
        <v>19</v>
      </c>
      <c r="C12" s="1">
        <v>29</v>
      </c>
      <c r="D12" s="1">
        <v>6.8</v>
      </c>
      <c r="E12" s="1">
        <v>0.99417882999999996</v>
      </c>
      <c r="F12" s="1">
        <v>1.3532861</v>
      </c>
      <c r="H12" s="3">
        <f t="shared" si="0"/>
        <v>0.85379723088235293</v>
      </c>
      <c r="I12" s="1">
        <f t="shared" si="1"/>
        <v>0</v>
      </c>
      <c r="J12" s="1">
        <f t="shared" si="2"/>
        <v>0</v>
      </c>
      <c r="K12" s="1">
        <f t="shared" si="3"/>
        <v>1</v>
      </c>
      <c r="L12" s="1">
        <f t="shared" si="4"/>
        <v>0</v>
      </c>
      <c r="M12" s="1">
        <f t="shared" si="5"/>
        <v>0</v>
      </c>
    </row>
    <row r="13" spans="1:16" x14ac:dyDescent="0.3">
      <c r="A13" s="1" t="s">
        <v>24</v>
      </c>
      <c r="B13" s="1">
        <v>20</v>
      </c>
      <c r="C13" s="1">
        <v>33</v>
      </c>
      <c r="D13" s="1">
        <v>0.46100003000000001</v>
      </c>
      <c r="E13" s="1">
        <v>0.12498229</v>
      </c>
      <c r="F13" s="1">
        <v>0.17012714000000001</v>
      </c>
      <c r="H13" s="3">
        <f t="shared" si="0"/>
        <v>0.72888875950832366</v>
      </c>
      <c r="I13" s="1">
        <f t="shared" si="1"/>
        <v>0</v>
      </c>
      <c r="J13" s="1">
        <f t="shared" si="2"/>
        <v>0</v>
      </c>
      <c r="K13" s="1">
        <f t="shared" si="3"/>
        <v>1</v>
      </c>
      <c r="L13" s="1">
        <f t="shared" si="4"/>
        <v>0</v>
      </c>
      <c r="M13" s="1">
        <f t="shared" si="5"/>
        <v>0</v>
      </c>
    </row>
    <row r="14" spans="1:16" x14ac:dyDescent="0.3">
      <c r="A14" s="1" t="s">
        <v>25</v>
      </c>
      <c r="B14" s="1">
        <v>21</v>
      </c>
      <c r="C14" s="1">
        <v>28</v>
      </c>
      <c r="D14" s="1">
        <v>3431.9998000000001</v>
      </c>
      <c r="E14" s="1">
        <v>9272.8080000000009</v>
      </c>
      <c r="F14" s="1">
        <v>12622.237999999999</v>
      </c>
      <c r="H14" s="3">
        <f t="shared" si="0"/>
        <v>1.701867290318607</v>
      </c>
      <c r="I14" s="1">
        <f t="shared" si="1"/>
        <v>0</v>
      </c>
      <c r="J14" s="1">
        <f t="shared" si="2"/>
        <v>1</v>
      </c>
      <c r="K14" s="1">
        <f t="shared" si="3"/>
        <v>0</v>
      </c>
      <c r="L14" s="1">
        <f t="shared" si="4"/>
        <v>0</v>
      </c>
      <c r="M14" s="1">
        <f t="shared" si="5"/>
        <v>0</v>
      </c>
    </row>
    <row r="15" spans="1:16" x14ac:dyDescent="0.3">
      <c r="A15" s="1" t="s">
        <v>26</v>
      </c>
      <c r="B15" s="1">
        <v>21</v>
      </c>
      <c r="C15" s="1">
        <v>34</v>
      </c>
      <c r="D15" s="1">
        <v>9.1999990000000004E-2</v>
      </c>
      <c r="E15" s="1">
        <v>0.1522598</v>
      </c>
      <c r="F15" s="1">
        <v>0.20725755000000001</v>
      </c>
      <c r="H15" s="3">
        <f t="shared" si="0"/>
        <v>0.65499800597804403</v>
      </c>
      <c r="I15" s="1">
        <f t="shared" si="1"/>
        <v>0</v>
      </c>
      <c r="J15" s="1">
        <f t="shared" si="2"/>
        <v>0</v>
      </c>
      <c r="K15" s="1">
        <f t="shared" si="3"/>
        <v>1</v>
      </c>
      <c r="L15" s="1">
        <f t="shared" si="4"/>
        <v>0</v>
      </c>
      <c r="M15" s="1">
        <f t="shared" si="5"/>
        <v>0</v>
      </c>
    </row>
    <row r="16" spans="1:16" x14ac:dyDescent="0.3">
      <c r="A16" s="1" t="s">
        <v>27</v>
      </c>
      <c r="B16" s="1">
        <v>22</v>
      </c>
      <c r="C16" s="1">
        <v>36</v>
      </c>
      <c r="D16" s="1">
        <v>5.4999996000000002E-2</v>
      </c>
      <c r="E16" s="1">
        <v>7.050381E-2</v>
      </c>
      <c r="F16" s="1">
        <v>9.5970490000000006E-2</v>
      </c>
      <c r="H16" s="3">
        <f t="shared" si="0"/>
        <v>0.28188754777363978</v>
      </c>
      <c r="I16" s="1">
        <f t="shared" si="1"/>
        <v>0</v>
      </c>
      <c r="J16" s="1">
        <f t="shared" si="2"/>
        <v>0</v>
      </c>
      <c r="K16" s="1">
        <f t="shared" si="3"/>
        <v>0</v>
      </c>
      <c r="L16" s="1">
        <f t="shared" si="4"/>
        <v>1</v>
      </c>
      <c r="M16" s="1">
        <f t="shared" si="5"/>
        <v>0</v>
      </c>
    </row>
    <row r="17" spans="1:13" x14ac:dyDescent="0.3">
      <c r="A17" s="1" t="s">
        <v>28</v>
      </c>
      <c r="B17" s="1">
        <v>22</v>
      </c>
      <c r="C17" s="1">
        <v>32</v>
      </c>
      <c r="D17" s="1">
        <v>1.6</v>
      </c>
      <c r="E17" s="1">
        <v>6.8304720000000003</v>
      </c>
      <c r="F17" s="1">
        <v>9.2977070000000008</v>
      </c>
      <c r="H17" s="3">
        <f t="shared" si="0"/>
        <v>3.2690450000000002</v>
      </c>
      <c r="I17" s="1">
        <f t="shared" si="1"/>
        <v>0</v>
      </c>
      <c r="J17" s="1">
        <f t="shared" si="2"/>
        <v>1</v>
      </c>
      <c r="K17" s="1">
        <f t="shared" si="3"/>
        <v>0</v>
      </c>
      <c r="L17" s="1">
        <f t="shared" si="4"/>
        <v>0</v>
      </c>
      <c r="M17" s="1">
        <f t="shared" si="5"/>
        <v>0</v>
      </c>
    </row>
    <row r="18" spans="1:13" x14ac:dyDescent="0.3">
      <c r="A18" s="1" t="s">
        <v>29</v>
      </c>
      <c r="B18" s="1">
        <v>23</v>
      </c>
      <c r="C18" s="1">
        <v>36</v>
      </c>
      <c r="D18" s="1">
        <v>9.5999989999999993E-2</v>
      </c>
      <c r="E18" s="1">
        <v>0.11406115</v>
      </c>
      <c r="F18" s="1">
        <v>0.15526117</v>
      </c>
      <c r="H18" s="3">
        <f t="shared" si="0"/>
        <v>0.18813710293094829</v>
      </c>
      <c r="I18" s="1">
        <f t="shared" si="1"/>
        <v>0</v>
      </c>
      <c r="J18" s="1">
        <f t="shared" si="2"/>
        <v>0</v>
      </c>
      <c r="K18" s="1">
        <f t="shared" si="3"/>
        <v>0</v>
      </c>
      <c r="L18" s="1">
        <f t="shared" si="4"/>
        <v>1</v>
      </c>
      <c r="M18" s="1">
        <f t="shared" si="5"/>
        <v>0</v>
      </c>
    </row>
    <row r="19" spans="1:13" x14ac:dyDescent="0.3">
      <c r="A19" s="1" t="s">
        <v>30</v>
      </c>
      <c r="B19" s="1">
        <v>24</v>
      </c>
      <c r="C19" s="1">
        <v>35</v>
      </c>
      <c r="D19" s="1">
        <v>1.05</v>
      </c>
      <c r="E19" s="1">
        <v>1.5394953</v>
      </c>
      <c r="F19" s="1">
        <v>2.0955765</v>
      </c>
      <c r="H19" s="3">
        <f t="shared" si="0"/>
        <v>0.46618599999999993</v>
      </c>
      <c r="I19" s="1">
        <f t="shared" si="1"/>
        <v>0</v>
      </c>
      <c r="J19" s="1">
        <f t="shared" si="2"/>
        <v>0</v>
      </c>
      <c r="K19" s="1">
        <f t="shared" si="3"/>
        <v>0</v>
      </c>
      <c r="L19" s="1">
        <f t="shared" si="4"/>
        <v>1</v>
      </c>
      <c r="M19" s="1">
        <f t="shared" si="5"/>
        <v>0</v>
      </c>
    </row>
    <row r="20" spans="1:13" x14ac:dyDescent="0.3">
      <c r="A20" s="1" t="s">
        <v>31</v>
      </c>
      <c r="B20" s="1">
        <v>25</v>
      </c>
      <c r="C20" s="1">
        <v>33</v>
      </c>
      <c r="D20" s="1">
        <v>3</v>
      </c>
      <c r="E20" s="1">
        <v>18.041685000000001</v>
      </c>
      <c r="F20" s="1">
        <v>24.558520999999999</v>
      </c>
      <c r="H20" s="3">
        <f t="shared" si="0"/>
        <v>5.0138950000000007</v>
      </c>
      <c r="I20" s="1">
        <f t="shared" si="1"/>
        <v>0</v>
      </c>
      <c r="J20" s="1">
        <f t="shared" si="2"/>
        <v>1</v>
      </c>
      <c r="K20" s="1">
        <f t="shared" si="3"/>
        <v>0</v>
      </c>
      <c r="L20" s="1">
        <f t="shared" si="4"/>
        <v>0</v>
      </c>
      <c r="M20" s="1">
        <f t="shared" si="5"/>
        <v>0</v>
      </c>
    </row>
    <row r="21" spans="1:13" x14ac:dyDescent="0.3">
      <c r="A21" s="1" t="s">
        <v>32</v>
      </c>
      <c r="B21" s="1">
        <v>25</v>
      </c>
      <c r="C21" s="1">
        <v>37</v>
      </c>
      <c r="D21" s="1">
        <v>9.1999990000000004E-2</v>
      </c>
      <c r="E21" s="1">
        <v>0.20065245000000001</v>
      </c>
      <c r="F21" s="1">
        <v>0.27313011999999998</v>
      </c>
      <c r="H21" s="3">
        <f t="shared" si="0"/>
        <v>1.1810051283701226</v>
      </c>
      <c r="I21" s="1">
        <f t="shared" si="1"/>
        <v>0</v>
      </c>
      <c r="J21" s="1">
        <f t="shared" si="2"/>
        <v>1</v>
      </c>
      <c r="K21" s="1">
        <f t="shared" si="3"/>
        <v>0</v>
      </c>
      <c r="L21" s="1">
        <f t="shared" si="4"/>
        <v>0</v>
      </c>
      <c r="M21" s="1">
        <f t="shared" si="5"/>
        <v>0</v>
      </c>
    </row>
    <row r="22" spans="1:13" x14ac:dyDescent="0.3">
      <c r="A22" s="1" t="s">
        <v>33</v>
      </c>
      <c r="B22" s="1">
        <v>25</v>
      </c>
      <c r="C22" s="1">
        <v>31</v>
      </c>
      <c r="D22" s="1">
        <v>9283.6830000000009</v>
      </c>
      <c r="E22" s="1">
        <v>607.68370000000004</v>
      </c>
      <c r="F22" s="1">
        <v>827.18510000000003</v>
      </c>
      <c r="H22" s="3">
        <f t="shared" si="0"/>
        <v>0.93454282099033326</v>
      </c>
      <c r="I22" s="1">
        <f t="shared" si="1"/>
        <v>0</v>
      </c>
      <c r="J22" s="1">
        <f t="shared" si="2"/>
        <v>0</v>
      </c>
      <c r="K22" s="1">
        <f t="shared" si="3"/>
        <v>1</v>
      </c>
      <c r="L22" s="1">
        <f t="shared" si="4"/>
        <v>0</v>
      </c>
      <c r="M22" s="1">
        <f t="shared" si="5"/>
        <v>0</v>
      </c>
    </row>
    <row r="23" spans="1:13" x14ac:dyDescent="0.3">
      <c r="A23" s="1" t="s">
        <v>34</v>
      </c>
      <c r="B23" s="1">
        <v>26</v>
      </c>
      <c r="C23" s="1">
        <v>40</v>
      </c>
      <c r="D23" s="1">
        <v>0.47199999999999998</v>
      </c>
      <c r="E23" s="1">
        <v>0.43328187000000001</v>
      </c>
      <c r="F23" s="1">
        <v>0.58978759999999997</v>
      </c>
      <c r="H23" s="3">
        <f t="shared" si="0"/>
        <v>8.2029936440677895E-2</v>
      </c>
      <c r="I23" s="1">
        <f t="shared" si="1"/>
        <v>0</v>
      </c>
      <c r="J23" s="1">
        <f t="shared" si="2"/>
        <v>0</v>
      </c>
      <c r="K23" s="1">
        <f t="shared" si="3"/>
        <v>0</v>
      </c>
      <c r="L23" s="1">
        <f t="shared" si="4"/>
        <v>0</v>
      </c>
      <c r="M23" s="1">
        <f t="shared" si="5"/>
        <v>1</v>
      </c>
    </row>
    <row r="24" spans="1:13" x14ac:dyDescent="0.3">
      <c r="A24" s="1" t="s">
        <v>35</v>
      </c>
      <c r="B24" s="1">
        <v>27</v>
      </c>
      <c r="C24" s="1">
        <v>41</v>
      </c>
      <c r="D24" s="1">
        <v>0.222</v>
      </c>
      <c r="E24" s="1">
        <v>3.2848926000000001</v>
      </c>
      <c r="F24" s="1">
        <v>4.4714283999999997</v>
      </c>
      <c r="H24" s="3">
        <f t="shared" si="0"/>
        <v>13.796813513513513</v>
      </c>
      <c r="I24" s="1">
        <f t="shared" si="1"/>
        <v>1</v>
      </c>
      <c r="J24" s="1">
        <f t="shared" si="2"/>
        <v>0</v>
      </c>
      <c r="K24" s="1">
        <f t="shared" si="3"/>
        <v>0</v>
      </c>
      <c r="L24" s="1">
        <f t="shared" si="4"/>
        <v>0</v>
      </c>
      <c r="M24" s="1">
        <f t="shared" si="5"/>
        <v>0</v>
      </c>
    </row>
    <row r="25" spans="1:13" x14ac:dyDescent="0.3">
      <c r="A25" s="1" t="s">
        <v>36</v>
      </c>
      <c r="B25" s="1">
        <v>28</v>
      </c>
      <c r="C25" s="1">
        <v>37</v>
      </c>
      <c r="D25" s="1">
        <v>9063.0020000000004</v>
      </c>
      <c r="E25" s="1">
        <v>6803.3437999999996</v>
      </c>
      <c r="F25" s="1">
        <v>9260.7790000000005</v>
      </c>
      <c r="H25" s="3">
        <f t="shared" si="0"/>
        <v>0.24932778344305789</v>
      </c>
      <c r="I25" s="1">
        <f t="shared" si="1"/>
        <v>0</v>
      </c>
      <c r="J25" s="1">
        <f t="shared" si="2"/>
        <v>0</v>
      </c>
      <c r="K25" s="1">
        <f t="shared" si="3"/>
        <v>0</v>
      </c>
      <c r="L25" s="1">
        <f t="shared" si="4"/>
        <v>1</v>
      </c>
      <c r="M25" s="1">
        <f t="shared" si="5"/>
        <v>0</v>
      </c>
    </row>
    <row r="26" spans="1:13" x14ac:dyDescent="0.3">
      <c r="A26" s="1" t="s">
        <v>37</v>
      </c>
      <c r="B26" s="1">
        <v>28</v>
      </c>
      <c r="C26" s="1">
        <v>48</v>
      </c>
      <c r="D26" s="1">
        <v>0.23469999999999999</v>
      </c>
      <c r="E26" s="1">
        <v>0.33073795</v>
      </c>
      <c r="F26" s="1">
        <v>0.45020379999999999</v>
      </c>
      <c r="H26" s="3">
        <f t="shared" si="0"/>
        <v>0.40919450362164472</v>
      </c>
      <c r="I26" s="1">
        <f t="shared" si="1"/>
        <v>0</v>
      </c>
      <c r="J26" s="1">
        <f t="shared" si="2"/>
        <v>0</v>
      </c>
      <c r="K26" s="1">
        <f t="shared" si="3"/>
        <v>0</v>
      </c>
      <c r="L26" s="1">
        <f t="shared" si="4"/>
        <v>1</v>
      </c>
      <c r="M26" s="1">
        <f t="shared" si="5"/>
        <v>0</v>
      </c>
    </row>
    <row r="27" spans="1:13" x14ac:dyDescent="0.3">
      <c r="A27" s="1" t="s">
        <v>38</v>
      </c>
      <c r="B27" s="1">
        <v>29</v>
      </c>
      <c r="C27" s="1">
        <v>37</v>
      </c>
      <c r="D27" s="1">
        <v>305.39999999999998</v>
      </c>
      <c r="E27" s="1">
        <v>355.86831999999998</v>
      </c>
      <c r="F27" s="1">
        <v>484.41149999999999</v>
      </c>
      <c r="H27" s="3">
        <f t="shared" si="0"/>
        <v>0.16525317616240998</v>
      </c>
      <c r="I27" s="1">
        <f t="shared" si="1"/>
        <v>0</v>
      </c>
      <c r="J27" s="1">
        <f t="shared" si="2"/>
        <v>0</v>
      </c>
      <c r="K27" s="1">
        <f t="shared" si="3"/>
        <v>0</v>
      </c>
      <c r="L27" s="1">
        <f t="shared" si="4"/>
        <v>1</v>
      </c>
      <c r="M27" s="1">
        <f t="shared" si="5"/>
        <v>0</v>
      </c>
    </row>
    <row r="28" spans="1:13" x14ac:dyDescent="0.3">
      <c r="A28" s="1" t="s">
        <v>39</v>
      </c>
      <c r="B28" s="1">
        <v>30</v>
      </c>
      <c r="C28" s="1">
        <v>46</v>
      </c>
      <c r="D28" s="1">
        <v>5.3</v>
      </c>
      <c r="E28" s="1">
        <v>7.2440366999999997</v>
      </c>
      <c r="F28" s="1">
        <v>9.8606549999999995</v>
      </c>
      <c r="H28" s="3">
        <f t="shared" si="0"/>
        <v>0.36679937735849055</v>
      </c>
      <c r="I28" s="1">
        <f t="shared" si="1"/>
        <v>0</v>
      </c>
      <c r="J28" s="1">
        <f t="shared" si="2"/>
        <v>0</v>
      </c>
      <c r="K28" s="1">
        <f t="shared" si="3"/>
        <v>0</v>
      </c>
      <c r="L28" s="1">
        <f t="shared" si="4"/>
        <v>1</v>
      </c>
      <c r="M28" s="1">
        <f t="shared" si="5"/>
        <v>0</v>
      </c>
    </row>
    <row r="29" spans="1:13" x14ac:dyDescent="0.3">
      <c r="A29" s="1" t="s">
        <v>40</v>
      </c>
      <c r="B29" s="1">
        <v>31</v>
      </c>
      <c r="C29" s="1">
        <v>49</v>
      </c>
      <c r="D29" s="1">
        <v>1.9</v>
      </c>
      <c r="E29" s="1">
        <v>11.949045</v>
      </c>
      <c r="F29" s="1">
        <v>16.265160000000002</v>
      </c>
      <c r="H29" s="3">
        <f t="shared" si="0"/>
        <v>5.2889710526315792</v>
      </c>
      <c r="I29" s="1">
        <f t="shared" si="1"/>
        <v>0</v>
      </c>
      <c r="J29" s="1">
        <f t="shared" si="2"/>
        <v>1</v>
      </c>
      <c r="K29" s="1">
        <f t="shared" si="3"/>
        <v>0</v>
      </c>
      <c r="L29" s="1">
        <f t="shared" si="4"/>
        <v>0</v>
      </c>
      <c r="M29" s="1">
        <f t="shared" si="5"/>
        <v>0</v>
      </c>
    </row>
    <row r="30" spans="1:13" x14ac:dyDescent="0.3">
      <c r="A30" s="1" t="s">
        <v>41</v>
      </c>
      <c r="B30" s="1">
        <v>33</v>
      </c>
      <c r="C30" s="1">
        <v>54</v>
      </c>
      <c r="D30" s="1">
        <v>0.48399999999999999</v>
      </c>
      <c r="E30" s="1">
        <v>0.46527891999999998</v>
      </c>
      <c r="F30" s="1">
        <v>0.63334230000000002</v>
      </c>
      <c r="H30" s="3">
        <f t="shared" si="0"/>
        <v>3.8679917355371907E-2</v>
      </c>
      <c r="I30" s="1">
        <f t="shared" si="1"/>
        <v>0</v>
      </c>
      <c r="J30" s="1">
        <f t="shared" si="2"/>
        <v>0</v>
      </c>
      <c r="K30" s="1">
        <f t="shared" si="3"/>
        <v>0</v>
      </c>
      <c r="L30" s="1">
        <f t="shared" si="4"/>
        <v>0</v>
      </c>
      <c r="M30" s="1">
        <f t="shared" si="5"/>
        <v>1</v>
      </c>
    </row>
    <row r="31" spans="1:13" x14ac:dyDescent="0.3">
      <c r="A31" s="1" t="s">
        <v>42</v>
      </c>
      <c r="B31" s="1">
        <v>33</v>
      </c>
      <c r="C31" s="1">
        <v>51</v>
      </c>
      <c r="D31" s="1">
        <v>3.1599998</v>
      </c>
      <c r="E31" s="1">
        <v>1.1426136</v>
      </c>
      <c r="F31" s="1">
        <v>1.5553371</v>
      </c>
      <c r="H31" s="3">
        <f t="shared" si="0"/>
        <v>0.63841339483629078</v>
      </c>
      <c r="I31" s="1">
        <f t="shared" si="1"/>
        <v>0</v>
      </c>
      <c r="J31" s="1">
        <f t="shared" si="2"/>
        <v>0</v>
      </c>
      <c r="K31" s="1">
        <f t="shared" si="3"/>
        <v>1</v>
      </c>
      <c r="L31" s="1">
        <f t="shared" si="4"/>
        <v>0</v>
      </c>
      <c r="M31" s="1">
        <f t="shared" si="5"/>
        <v>0</v>
      </c>
    </row>
    <row r="32" spans="1:13" x14ac:dyDescent="0.3">
      <c r="A32" s="1" t="s">
        <v>43</v>
      </c>
      <c r="B32" s="1">
        <v>34</v>
      </c>
      <c r="C32" s="1">
        <v>51</v>
      </c>
      <c r="D32" s="1">
        <v>32.9</v>
      </c>
      <c r="E32" s="1">
        <v>13.859105</v>
      </c>
      <c r="F32" s="1">
        <v>18.865151999999998</v>
      </c>
      <c r="H32" s="3">
        <f t="shared" si="0"/>
        <v>0.57875060790273558</v>
      </c>
      <c r="I32" s="1">
        <f t="shared" si="1"/>
        <v>0</v>
      </c>
      <c r="J32" s="1">
        <f t="shared" si="2"/>
        <v>0</v>
      </c>
      <c r="K32" s="1">
        <f t="shared" si="3"/>
        <v>1</v>
      </c>
      <c r="L32" s="1">
        <f t="shared" si="4"/>
        <v>0</v>
      </c>
      <c r="M32" s="1">
        <f t="shared" si="5"/>
        <v>0</v>
      </c>
    </row>
    <row r="33" spans="1:13" x14ac:dyDescent="0.3">
      <c r="A33" s="1" t="s">
        <v>44</v>
      </c>
      <c r="B33" s="1">
        <v>34</v>
      </c>
      <c r="C33" s="1">
        <v>52</v>
      </c>
      <c r="D33" s="1">
        <v>14.299999</v>
      </c>
      <c r="E33" s="1">
        <v>6.7309520000000003</v>
      </c>
      <c r="F33" s="1">
        <v>9.1622389999999996</v>
      </c>
      <c r="H33" s="3">
        <f t="shared" si="0"/>
        <v>0.5293040230282533</v>
      </c>
      <c r="I33" s="1">
        <f t="shared" si="1"/>
        <v>0</v>
      </c>
      <c r="J33" s="1">
        <f t="shared" si="2"/>
        <v>0</v>
      </c>
      <c r="K33" s="1">
        <f t="shared" si="3"/>
        <v>1</v>
      </c>
      <c r="L33" s="1">
        <f t="shared" si="4"/>
        <v>0</v>
      </c>
      <c r="M33" s="1">
        <f t="shared" si="5"/>
        <v>0</v>
      </c>
    </row>
    <row r="34" spans="1:13" x14ac:dyDescent="0.3">
      <c r="A34" s="1" t="s">
        <v>45</v>
      </c>
      <c r="B34" s="1">
        <v>35</v>
      </c>
      <c r="C34" s="1">
        <v>59</v>
      </c>
      <c r="D34" s="1">
        <v>6.9999989999999998E-2</v>
      </c>
      <c r="E34" s="1">
        <v>7.479015E-2</v>
      </c>
      <c r="F34" s="1">
        <v>0.1018051</v>
      </c>
      <c r="H34" s="3">
        <f t="shared" si="0"/>
        <v>6.8430866918695293E-2</v>
      </c>
      <c r="I34" s="1">
        <f t="shared" si="1"/>
        <v>0</v>
      </c>
      <c r="J34" s="1">
        <f t="shared" si="2"/>
        <v>0</v>
      </c>
      <c r="K34" s="1">
        <f t="shared" si="3"/>
        <v>0</v>
      </c>
      <c r="L34" s="1">
        <f t="shared" si="4"/>
        <v>0</v>
      </c>
      <c r="M34" s="1">
        <f t="shared" si="5"/>
        <v>1</v>
      </c>
    </row>
    <row r="35" spans="1:13" x14ac:dyDescent="0.3">
      <c r="A35" s="1" t="s">
        <v>46</v>
      </c>
      <c r="B35" s="1">
        <v>36</v>
      </c>
      <c r="C35" s="1">
        <v>64</v>
      </c>
      <c r="D35" s="1">
        <v>7.0000000000000001E-3</v>
      </c>
      <c r="E35" s="1">
        <v>1.7590926999999999E-2</v>
      </c>
      <c r="F35" s="1">
        <v>2.3944946000000002E-2</v>
      </c>
      <c r="H35" s="3">
        <f t="shared" si="0"/>
        <v>1.5129895714285715</v>
      </c>
      <c r="I35" s="1">
        <f t="shared" si="1"/>
        <v>0</v>
      </c>
      <c r="J35" s="1">
        <f t="shared" si="2"/>
        <v>1</v>
      </c>
      <c r="K35" s="1">
        <f t="shared" si="3"/>
        <v>0</v>
      </c>
      <c r="L35" s="1">
        <f t="shared" si="4"/>
        <v>0</v>
      </c>
      <c r="M35" s="1">
        <f t="shared" si="5"/>
        <v>0</v>
      </c>
    </row>
    <row r="36" spans="1:13" x14ac:dyDescent="0.3">
      <c r="A36" s="1" t="s">
        <v>47</v>
      </c>
      <c r="B36" s="1">
        <v>37</v>
      </c>
      <c r="C36" s="1">
        <v>54</v>
      </c>
      <c r="D36" s="1">
        <v>57.999996000000003</v>
      </c>
      <c r="E36" s="1">
        <v>21.440424</v>
      </c>
      <c r="F36" s="1">
        <v>29.184920000000002</v>
      </c>
      <c r="H36" s="3">
        <f t="shared" si="0"/>
        <v>0.63033749174741327</v>
      </c>
      <c r="I36" s="1">
        <f t="shared" si="1"/>
        <v>0</v>
      </c>
      <c r="J36" s="1">
        <f t="shared" si="2"/>
        <v>0</v>
      </c>
      <c r="K36" s="1">
        <f t="shared" si="3"/>
        <v>1</v>
      </c>
      <c r="L36" s="1">
        <f t="shared" si="4"/>
        <v>0</v>
      </c>
      <c r="M36" s="1">
        <f t="shared" si="5"/>
        <v>0</v>
      </c>
    </row>
    <row r="37" spans="1:13" x14ac:dyDescent="0.3">
      <c r="A37" s="1" t="s">
        <v>48</v>
      </c>
      <c r="B37" s="1">
        <v>37</v>
      </c>
      <c r="C37" s="1">
        <v>47</v>
      </c>
      <c r="D37" s="1">
        <v>2835649</v>
      </c>
      <c r="E37" s="1">
        <v>245058.53</v>
      </c>
      <c r="F37" s="1">
        <v>333576.12</v>
      </c>
      <c r="H37" s="3">
        <f t="shared" si="0"/>
        <v>0.91357938517778481</v>
      </c>
      <c r="I37" s="1">
        <f t="shared" si="1"/>
        <v>0</v>
      </c>
      <c r="J37" s="1">
        <f t="shared" si="2"/>
        <v>0</v>
      </c>
      <c r="K37" s="1">
        <f t="shared" si="3"/>
        <v>1</v>
      </c>
      <c r="L37" s="1">
        <f t="shared" si="4"/>
        <v>0</v>
      </c>
      <c r="M37" s="1">
        <f t="shared" si="5"/>
        <v>0</v>
      </c>
    </row>
    <row r="38" spans="1:13" x14ac:dyDescent="0.3">
      <c r="A38" s="1" t="s">
        <v>49</v>
      </c>
      <c r="B38" s="1">
        <v>37</v>
      </c>
      <c r="C38" s="1">
        <v>49</v>
      </c>
      <c r="D38" s="1">
        <v>1613173.9</v>
      </c>
      <c r="E38" s="1">
        <v>76137.14</v>
      </c>
      <c r="F38" s="1">
        <v>103638.63</v>
      </c>
      <c r="H38" s="3">
        <f t="shared" si="0"/>
        <v>0.95280289372398108</v>
      </c>
      <c r="I38" s="1">
        <f t="shared" si="1"/>
        <v>0</v>
      </c>
      <c r="J38" s="1">
        <f t="shared" si="2"/>
        <v>0</v>
      </c>
      <c r="K38" s="1">
        <f t="shared" si="3"/>
        <v>1</v>
      </c>
      <c r="L38" s="1">
        <f t="shared" si="4"/>
        <v>0</v>
      </c>
      <c r="M38" s="1">
        <f t="shared" si="5"/>
        <v>0</v>
      </c>
    </row>
    <row r="39" spans="1:13" x14ac:dyDescent="0.3">
      <c r="A39" s="1" t="s">
        <v>50</v>
      </c>
      <c r="B39" s="1">
        <v>37</v>
      </c>
      <c r="C39" s="1">
        <v>60</v>
      </c>
      <c r="D39" s="1">
        <v>0.16910001999999999</v>
      </c>
      <c r="E39" s="1">
        <v>0.15874369999999999</v>
      </c>
      <c r="F39" s="1">
        <v>0.21608350000000001</v>
      </c>
      <c r="H39" s="3">
        <f t="shared" si="0"/>
        <v>6.124375384461813E-2</v>
      </c>
      <c r="I39" s="1">
        <f t="shared" si="1"/>
        <v>0</v>
      </c>
      <c r="J39" s="1">
        <f t="shared" si="2"/>
        <v>0</v>
      </c>
      <c r="K39" s="1">
        <f t="shared" si="3"/>
        <v>0</v>
      </c>
      <c r="L39" s="1">
        <f t="shared" si="4"/>
        <v>0</v>
      </c>
      <c r="M39" s="1">
        <f t="shared" si="5"/>
        <v>1</v>
      </c>
    </row>
    <row r="40" spans="1:13" x14ac:dyDescent="0.3">
      <c r="A40" s="1" t="s">
        <v>51</v>
      </c>
      <c r="B40" s="1">
        <v>38</v>
      </c>
      <c r="C40" s="1">
        <v>53</v>
      </c>
      <c r="D40" s="1">
        <v>34847.983999999997</v>
      </c>
      <c r="E40" s="1">
        <v>1599.5326</v>
      </c>
      <c r="F40" s="1">
        <v>2177.2997999999998</v>
      </c>
      <c r="H40" s="3">
        <f t="shared" si="0"/>
        <v>0.95409970918260301</v>
      </c>
      <c r="I40" s="1">
        <f t="shared" si="1"/>
        <v>0</v>
      </c>
      <c r="J40" s="1">
        <f t="shared" si="2"/>
        <v>0</v>
      </c>
      <c r="K40" s="1">
        <f t="shared" si="3"/>
        <v>1</v>
      </c>
      <c r="L40" s="1">
        <f t="shared" si="4"/>
        <v>0</v>
      </c>
      <c r="M40" s="1">
        <f t="shared" si="5"/>
        <v>0</v>
      </c>
    </row>
    <row r="41" spans="1:13" x14ac:dyDescent="0.3">
      <c r="A41" s="1" t="s">
        <v>52</v>
      </c>
      <c r="B41" s="1">
        <v>41</v>
      </c>
      <c r="C41" s="1">
        <v>72</v>
      </c>
      <c r="D41" s="1">
        <v>3.1999998000000002E-2</v>
      </c>
      <c r="E41" s="1">
        <v>3.5824050000000003E-2</v>
      </c>
      <c r="F41" s="1">
        <v>4.8764054000000001E-2</v>
      </c>
      <c r="H41" s="3">
        <f t="shared" si="0"/>
        <v>0.11950163246885206</v>
      </c>
      <c r="I41" s="1">
        <f t="shared" si="1"/>
        <v>0</v>
      </c>
      <c r="J41" s="1">
        <f t="shared" si="2"/>
        <v>0</v>
      </c>
      <c r="K41" s="1">
        <f t="shared" si="3"/>
        <v>0</v>
      </c>
      <c r="L41" s="1">
        <f t="shared" si="4"/>
        <v>1</v>
      </c>
      <c r="M41" s="1">
        <f t="shared" si="5"/>
        <v>0</v>
      </c>
    </row>
    <row r="42" spans="1:13" x14ac:dyDescent="0.3">
      <c r="A42" s="1" t="s">
        <v>53</v>
      </c>
      <c r="B42" s="1">
        <v>41</v>
      </c>
      <c r="C42" s="1">
        <v>71</v>
      </c>
      <c r="D42" s="1">
        <v>3.7999995000000002E-2</v>
      </c>
      <c r="E42" s="1">
        <v>6.3671850000000002E-2</v>
      </c>
      <c r="F42" s="1">
        <v>8.6670759999999999E-2</v>
      </c>
      <c r="H42" s="3">
        <f t="shared" si="0"/>
        <v>0.67557522047042373</v>
      </c>
      <c r="I42" s="1">
        <f t="shared" si="1"/>
        <v>0</v>
      </c>
      <c r="J42" s="1">
        <f t="shared" si="2"/>
        <v>0</v>
      </c>
      <c r="K42" s="1">
        <f t="shared" si="3"/>
        <v>1</v>
      </c>
      <c r="L42" s="1">
        <f t="shared" si="4"/>
        <v>0</v>
      </c>
      <c r="M42" s="1">
        <f t="shared" si="5"/>
        <v>0</v>
      </c>
    </row>
    <row r="43" spans="1:13" x14ac:dyDescent="0.3">
      <c r="A43" s="1" t="s">
        <v>54</v>
      </c>
      <c r="B43" s="1">
        <v>41</v>
      </c>
      <c r="C43" s="1">
        <v>70</v>
      </c>
      <c r="D43" s="1">
        <v>5.3999998E-2</v>
      </c>
      <c r="E43" s="1">
        <v>7.8906400000000002E-2</v>
      </c>
      <c r="F43" s="1">
        <v>0.10740818000000001</v>
      </c>
      <c r="H43" s="3">
        <f t="shared" si="0"/>
        <v>0.46122968374924755</v>
      </c>
      <c r="I43" s="1">
        <f t="shared" si="1"/>
        <v>0</v>
      </c>
      <c r="J43" s="1">
        <f t="shared" si="2"/>
        <v>0</v>
      </c>
      <c r="K43" s="1">
        <f t="shared" si="3"/>
        <v>0</v>
      </c>
      <c r="L43" s="1">
        <f t="shared" si="4"/>
        <v>1</v>
      </c>
      <c r="M43" s="1">
        <f t="shared" si="5"/>
        <v>0</v>
      </c>
    </row>
    <row r="44" spans="1:13" x14ac:dyDescent="0.3">
      <c r="A44" s="1" t="s">
        <v>55</v>
      </c>
      <c r="B44" s="1">
        <v>41</v>
      </c>
      <c r="C44" s="1">
        <v>55</v>
      </c>
      <c r="D44" s="1">
        <v>84059.95</v>
      </c>
      <c r="E44" s="1">
        <v>2313.6320000000001</v>
      </c>
      <c r="F44" s="1">
        <v>3149.3389999999999</v>
      </c>
      <c r="H44" s="3">
        <f t="shared" si="0"/>
        <v>0.97247640523221823</v>
      </c>
      <c r="I44" s="1">
        <f t="shared" si="1"/>
        <v>0</v>
      </c>
      <c r="J44" s="1">
        <f t="shared" si="2"/>
        <v>0</v>
      </c>
      <c r="K44" s="1">
        <f t="shared" si="3"/>
        <v>1</v>
      </c>
      <c r="L44" s="1">
        <f t="shared" si="4"/>
        <v>0</v>
      </c>
      <c r="M44" s="1">
        <f t="shared" si="5"/>
        <v>0</v>
      </c>
    </row>
    <row r="45" spans="1:13" x14ac:dyDescent="0.3">
      <c r="A45" s="1" t="s">
        <v>56</v>
      </c>
      <c r="B45" s="1">
        <v>43</v>
      </c>
      <c r="C45" s="1">
        <v>71</v>
      </c>
      <c r="D45" s="1">
        <v>0.11799999999999999</v>
      </c>
      <c r="E45" s="1">
        <v>0.16118394999999999</v>
      </c>
      <c r="F45" s="1">
        <v>0.21940519999999999</v>
      </c>
      <c r="H45" s="3">
        <f t="shared" si="0"/>
        <v>0.36596567796610169</v>
      </c>
      <c r="I45" s="1">
        <f t="shared" si="1"/>
        <v>0</v>
      </c>
      <c r="J45" s="1">
        <f t="shared" si="2"/>
        <v>0</v>
      </c>
      <c r="K45" s="1">
        <f t="shared" si="3"/>
        <v>0</v>
      </c>
      <c r="L45" s="1">
        <f t="shared" si="4"/>
        <v>1</v>
      </c>
      <c r="M45" s="1">
        <f t="shared" si="5"/>
        <v>0</v>
      </c>
    </row>
    <row r="46" spans="1:13" x14ac:dyDescent="0.3">
      <c r="A46" s="1" t="s">
        <v>57</v>
      </c>
      <c r="B46" s="1">
        <v>45</v>
      </c>
      <c r="C46" s="1">
        <v>71</v>
      </c>
      <c r="D46" s="1">
        <v>0.68500000000000005</v>
      </c>
      <c r="E46" s="1">
        <v>0.3723051</v>
      </c>
      <c r="F46" s="1">
        <v>0.50678540000000005</v>
      </c>
      <c r="H46" s="3">
        <f t="shared" si="0"/>
        <v>0.45648890510948908</v>
      </c>
      <c r="I46" s="1">
        <f t="shared" si="1"/>
        <v>0</v>
      </c>
      <c r="J46" s="1">
        <f t="shared" si="2"/>
        <v>0</v>
      </c>
      <c r="K46" s="1">
        <f t="shared" si="3"/>
        <v>0</v>
      </c>
      <c r="L46" s="1">
        <f t="shared" si="4"/>
        <v>1</v>
      </c>
      <c r="M46" s="1">
        <f t="shared" si="5"/>
        <v>0</v>
      </c>
    </row>
    <row r="47" spans="1:13" x14ac:dyDescent="0.3">
      <c r="A47" s="1" t="s">
        <v>58</v>
      </c>
      <c r="B47" s="1">
        <v>45</v>
      </c>
      <c r="C47" s="1">
        <v>60</v>
      </c>
      <c r="D47" s="1">
        <v>127227.61</v>
      </c>
      <c r="E47" s="1">
        <v>78546.414000000004</v>
      </c>
      <c r="F47" s="1">
        <v>106918.164</v>
      </c>
      <c r="H47" s="3">
        <f t="shared" si="0"/>
        <v>0.38263075129682933</v>
      </c>
      <c r="I47" s="1">
        <f t="shared" si="1"/>
        <v>0</v>
      </c>
      <c r="J47" s="1">
        <f t="shared" si="2"/>
        <v>0</v>
      </c>
      <c r="K47" s="1">
        <f t="shared" si="3"/>
        <v>0</v>
      </c>
      <c r="L47" s="1">
        <f t="shared" si="4"/>
        <v>1</v>
      </c>
      <c r="M47" s="1">
        <f t="shared" si="5"/>
        <v>0</v>
      </c>
    </row>
    <row r="48" spans="1:13" x14ac:dyDescent="0.3">
      <c r="A48" s="1" t="s">
        <v>59</v>
      </c>
      <c r="B48" s="1">
        <v>45</v>
      </c>
      <c r="C48" s="1">
        <v>68</v>
      </c>
      <c r="D48" s="1">
        <v>2.8</v>
      </c>
      <c r="E48" s="1">
        <v>8.3529999999999998</v>
      </c>
      <c r="F48" s="1">
        <v>11.370187</v>
      </c>
      <c r="H48" s="3">
        <f t="shared" si="0"/>
        <v>1.9832142857142858</v>
      </c>
      <c r="I48" s="1">
        <f t="shared" si="1"/>
        <v>0</v>
      </c>
      <c r="J48" s="1">
        <f t="shared" si="2"/>
        <v>1</v>
      </c>
      <c r="K48" s="1">
        <f t="shared" si="3"/>
        <v>0</v>
      </c>
      <c r="L48" s="1">
        <f t="shared" si="4"/>
        <v>0</v>
      </c>
      <c r="M48" s="1">
        <f t="shared" si="5"/>
        <v>0</v>
      </c>
    </row>
    <row r="49" spans="1:13" x14ac:dyDescent="0.3">
      <c r="A49" s="1" t="s">
        <v>60</v>
      </c>
      <c r="B49" s="1">
        <v>45</v>
      </c>
      <c r="C49" s="1">
        <v>64</v>
      </c>
      <c r="D49" s="1">
        <v>80.799994999999996</v>
      </c>
      <c r="E49" s="1">
        <v>992.86090000000002</v>
      </c>
      <c r="F49" s="1">
        <v>1351.4921999999999</v>
      </c>
      <c r="H49" s="3">
        <f t="shared" si="0"/>
        <v>11.287883186131387</v>
      </c>
      <c r="I49" s="1">
        <f t="shared" si="1"/>
        <v>1</v>
      </c>
      <c r="J49" s="1">
        <f t="shared" si="2"/>
        <v>0</v>
      </c>
      <c r="K49" s="1">
        <f t="shared" si="3"/>
        <v>0</v>
      </c>
      <c r="L49" s="1">
        <f t="shared" si="4"/>
        <v>0</v>
      </c>
      <c r="M49" s="1">
        <f t="shared" si="5"/>
        <v>0</v>
      </c>
    </row>
    <row r="50" spans="1:13" x14ac:dyDescent="0.3">
      <c r="A50" s="1" t="s">
        <v>61</v>
      </c>
      <c r="B50" s="1">
        <v>46</v>
      </c>
      <c r="C50" s="1">
        <v>71</v>
      </c>
      <c r="D50" s="1">
        <v>4.2999996999999999</v>
      </c>
      <c r="E50" s="1">
        <v>6.6425739999999998</v>
      </c>
      <c r="F50" s="1">
        <v>9.041938</v>
      </c>
      <c r="H50" s="3">
        <f t="shared" si="0"/>
        <v>0.54478475893847156</v>
      </c>
      <c r="I50" s="1">
        <f t="shared" si="1"/>
        <v>0</v>
      </c>
      <c r="J50" s="1">
        <f t="shared" si="2"/>
        <v>0</v>
      </c>
      <c r="K50" s="1">
        <f t="shared" si="3"/>
        <v>1</v>
      </c>
      <c r="L50" s="1">
        <f t="shared" si="4"/>
        <v>0</v>
      </c>
      <c r="M50" s="1">
        <f t="shared" si="5"/>
        <v>0</v>
      </c>
    </row>
    <row r="51" spans="1:13" x14ac:dyDescent="0.3">
      <c r="A51" s="1" t="s">
        <v>62</v>
      </c>
      <c r="B51" s="1">
        <v>46</v>
      </c>
      <c r="C51" s="1">
        <v>65</v>
      </c>
      <c r="D51" s="1">
        <v>1415.9999</v>
      </c>
      <c r="E51" s="1">
        <v>2913.9177</v>
      </c>
      <c r="F51" s="1">
        <v>3966.4539</v>
      </c>
      <c r="H51" s="3">
        <f t="shared" si="0"/>
        <v>1.0578516283793522</v>
      </c>
      <c r="I51" s="1">
        <f t="shared" si="1"/>
        <v>0</v>
      </c>
      <c r="J51" s="1">
        <f t="shared" si="2"/>
        <v>1</v>
      </c>
      <c r="K51" s="1">
        <f t="shared" si="3"/>
        <v>0</v>
      </c>
      <c r="L51" s="1">
        <f t="shared" si="4"/>
        <v>0</v>
      </c>
      <c r="M51" s="1">
        <f t="shared" si="5"/>
        <v>0</v>
      </c>
    </row>
    <row r="52" spans="1:13" x14ac:dyDescent="0.3">
      <c r="A52" s="1" t="s">
        <v>63</v>
      </c>
      <c r="B52" s="1">
        <v>47</v>
      </c>
      <c r="C52" s="1">
        <v>81</v>
      </c>
      <c r="D52" s="1">
        <v>6.6600010000000001E-2</v>
      </c>
      <c r="E52" s="1">
        <v>8.3969444000000004E-2</v>
      </c>
      <c r="F52" s="1">
        <v>0.11430004000000001</v>
      </c>
      <c r="H52" s="3">
        <f t="shared" si="0"/>
        <v>0.2608022731528119</v>
      </c>
      <c r="I52" s="1">
        <f t="shared" si="1"/>
        <v>0</v>
      </c>
      <c r="J52" s="1">
        <f t="shared" si="2"/>
        <v>0</v>
      </c>
      <c r="K52" s="1">
        <f t="shared" si="3"/>
        <v>0</v>
      </c>
      <c r="L52" s="1">
        <f t="shared" si="4"/>
        <v>1</v>
      </c>
      <c r="M52" s="1">
        <f t="shared" si="5"/>
        <v>0</v>
      </c>
    </row>
    <row r="53" spans="1:13" x14ac:dyDescent="0.3">
      <c r="A53" s="1" t="s">
        <v>64</v>
      </c>
      <c r="B53" s="1">
        <v>47</v>
      </c>
      <c r="C53" s="1">
        <v>75</v>
      </c>
      <c r="D53" s="1">
        <v>0.19999998999999999</v>
      </c>
      <c r="E53" s="1">
        <v>12.308222000000001</v>
      </c>
      <c r="F53" s="1">
        <v>16.754073999999999</v>
      </c>
      <c r="H53" s="3">
        <f t="shared" si="0"/>
        <v>60.541113077055662</v>
      </c>
      <c r="I53" s="1">
        <f t="shared" si="1"/>
        <v>1</v>
      </c>
      <c r="J53" s="1">
        <f t="shared" si="2"/>
        <v>0</v>
      </c>
      <c r="K53" s="1">
        <f t="shared" si="3"/>
        <v>0</v>
      </c>
      <c r="L53" s="1">
        <f t="shared" si="4"/>
        <v>0</v>
      </c>
      <c r="M53" s="1">
        <f t="shared" si="5"/>
        <v>0</v>
      </c>
    </row>
    <row r="54" spans="1:13" x14ac:dyDescent="0.3">
      <c r="A54" s="1" t="s">
        <v>65</v>
      </c>
      <c r="B54" s="1">
        <v>47</v>
      </c>
      <c r="C54" s="1">
        <v>72</v>
      </c>
      <c r="D54" s="1">
        <v>6.0000004999999996</v>
      </c>
      <c r="E54" s="1">
        <v>12.097077000000001</v>
      </c>
      <c r="F54" s="1">
        <v>16.466663</v>
      </c>
      <c r="H54" s="3">
        <f t="shared" si="0"/>
        <v>1.0161793319850558</v>
      </c>
      <c r="I54" s="1">
        <f t="shared" si="1"/>
        <v>0</v>
      </c>
      <c r="J54" s="1">
        <f t="shared" si="2"/>
        <v>1</v>
      </c>
      <c r="K54" s="1">
        <f t="shared" si="3"/>
        <v>0</v>
      </c>
      <c r="L54" s="1">
        <f t="shared" si="4"/>
        <v>0</v>
      </c>
      <c r="M54" s="1">
        <f t="shared" si="5"/>
        <v>0</v>
      </c>
    </row>
    <row r="55" spans="1:13" x14ac:dyDescent="0.3">
      <c r="A55" s="1" t="s">
        <v>66</v>
      </c>
      <c r="B55" s="1">
        <v>47</v>
      </c>
      <c r="C55" s="1">
        <v>77</v>
      </c>
      <c r="D55" s="1">
        <v>0.182</v>
      </c>
      <c r="E55" s="1">
        <v>0.56610470000000002</v>
      </c>
      <c r="F55" s="1">
        <v>0.77058740000000003</v>
      </c>
      <c r="H55" s="3">
        <f t="shared" si="0"/>
        <v>2.1104653846153849</v>
      </c>
      <c r="I55" s="1">
        <f t="shared" si="1"/>
        <v>0</v>
      </c>
      <c r="J55" s="1">
        <f t="shared" si="2"/>
        <v>1</v>
      </c>
      <c r="K55" s="1">
        <f t="shared" si="3"/>
        <v>0</v>
      </c>
      <c r="L55" s="1">
        <f t="shared" si="4"/>
        <v>0</v>
      </c>
      <c r="M55" s="1">
        <f t="shared" si="5"/>
        <v>0</v>
      </c>
    </row>
    <row r="56" spans="1:13" x14ac:dyDescent="0.3">
      <c r="A56" s="1" t="s">
        <v>67</v>
      </c>
      <c r="B56" s="1">
        <v>47</v>
      </c>
      <c r="C56" s="1">
        <v>68</v>
      </c>
      <c r="D56" s="1">
        <v>1199.9999</v>
      </c>
      <c r="E56" s="1">
        <v>558.58789999999999</v>
      </c>
      <c r="F56" s="1">
        <v>760.35540000000003</v>
      </c>
      <c r="H56" s="3">
        <f t="shared" si="0"/>
        <v>0.53451004454250373</v>
      </c>
      <c r="I56" s="1">
        <f t="shared" si="1"/>
        <v>0</v>
      </c>
      <c r="J56" s="1">
        <f t="shared" si="2"/>
        <v>0</v>
      </c>
      <c r="K56" s="1">
        <f t="shared" si="3"/>
        <v>1</v>
      </c>
      <c r="L56" s="1">
        <f t="shared" si="4"/>
        <v>0</v>
      </c>
      <c r="M56" s="1">
        <f t="shared" si="5"/>
        <v>0</v>
      </c>
    </row>
    <row r="57" spans="1:13" x14ac:dyDescent="0.3">
      <c r="A57" s="1" t="s">
        <v>68</v>
      </c>
      <c r="B57" s="1">
        <v>48</v>
      </c>
      <c r="C57" s="1">
        <v>76</v>
      </c>
      <c r="D57" s="1">
        <v>1.25</v>
      </c>
      <c r="E57" s="1">
        <v>4.2663270000000004</v>
      </c>
      <c r="F57" s="1">
        <v>5.8073670000000002</v>
      </c>
      <c r="H57" s="3">
        <f t="shared" si="0"/>
        <v>2.4130616000000003</v>
      </c>
      <c r="I57" s="1">
        <f t="shared" si="1"/>
        <v>0</v>
      </c>
      <c r="J57" s="1">
        <f t="shared" si="2"/>
        <v>1</v>
      </c>
      <c r="K57" s="1">
        <f t="shared" si="3"/>
        <v>0</v>
      </c>
      <c r="L57" s="1">
        <f t="shared" si="4"/>
        <v>0</v>
      </c>
      <c r="M57" s="1">
        <f t="shared" si="5"/>
        <v>0</v>
      </c>
    </row>
    <row r="58" spans="1:13" x14ac:dyDescent="0.3">
      <c r="A58" s="1" t="s">
        <v>69</v>
      </c>
      <c r="B58" s="1">
        <v>48</v>
      </c>
      <c r="C58" s="1">
        <v>79</v>
      </c>
      <c r="D58" s="1">
        <v>0.45000002</v>
      </c>
      <c r="E58" s="1">
        <v>1.4058101999999999</v>
      </c>
      <c r="F58" s="1">
        <v>1.9136029999999999</v>
      </c>
      <c r="H58" s="3">
        <f t="shared" si="0"/>
        <v>2.1240225278212206</v>
      </c>
      <c r="I58" s="1">
        <f t="shared" si="1"/>
        <v>0</v>
      </c>
      <c r="J58" s="1">
        <f t="shared" si="2"/>
        <v>1</v>
      </c>
      <c r="K58" s="1">
        <f t="shared" si="3"/>
        <v>0</v>
      </c>
      <c r="L58" s="1">
        <f t="shared" si="4"/>
        <v>0</v>
      </c>
      <c r="M58" s="1">
        <f t="shared" si="5"/>
        <v>0</v>
      </c>
    </row>
    <row r="59" spans="1:13" x14ac:dyDescent="0.3">
      <c r="A59" s="1" t="s">
        <v>70</v>
      </c>
      <c r="B59" s="1">
        <v>49</v>
      </c>
      <c r="C59" s="1">
        <v>80</v>
      </c>
      <c r="D59" s="1">
        <v>0.629</v>
      </c>
      <c r="E59" s="1">
        <v>1.4804550000000001</v>
      </c>
      <c r="F59" s="1">
        <v>2.0152101999999998</v>
      </c>
      <c r="H59" s="3">
        <f t="shared" si="0"/>
        <v>1.3536645468998412</v>
      </c>
      <c r="I59" s="1">
        <f t="shared" si="1"/>
        <v>0</v>
      </c>
      <c r="J59" s="1">
        <f t="shared" si="2"/>
        <v>1</v>
      </c>
      <c r="K59" s="1">
        <f t="shared" si="3"/>
        <v>0</v>
      </c>
      <c r="L59" s="1">
        <f t="shared" si="4"/>
        <v>0</v>
      </c>
      <c r="M59" s="1">
        <f t="shared" si="5"/>
        <v>0</v>
      </c>
    </row>
    <row r="60" spans="1:13" x14ac:dyDescent="0.3">
      <c r="A60" s="1" t="s">
        <v>71</v>
      </c>
      <c r="B60" s="1">
        <v>50</v>
      </c>
      <c r="C60" s="1">
        <v>80</v>
      </c>
      <c r="D60" s="1">
        <v>223.80005</v>
      </c>
      <c r="E60" s="1">
        <v>122.68625</v>
      </c>
      <c r="F60" s="1">
        <v>167.00174999999999</v>
      </c>
      <c r="H60" s="3">
        <f t="shared" si="0"/>
        <v>0.4518041886049623</v>
      </c>
      <c r="I60" s="1">
        <f t="shared" si="1"/>
        <v>0</v>
      </c>
      <c r="J60" s="1">
        <f t="shared" si="2"/>
        <v>0</v>
      </c>
      <c r="K60" s="1">
        <f t="shared" si="3"/>
        <v>0</v>
      </c>
      <c r="L60" s="1">
        <f t="shared" si="4"/>
        <v>1</v>
      </c>
      <c r="M60" s="1">
        <f t="shared" si="5"/>
        <v>0</v>
      </c>
    </row>
    <row r="61" spans="1:13" x14ac:dyDescent="0.3">
      <c r="A61" s="1" t="s">
        <v>72</v>
      </c>
      <c r="B61" s="1">
        <v>51</v>
      </c>
      <c r="C61" s="1">
        <v>85</v>
      </c>
      <c r="D61" s="1">
        <v>0.92400000000000004</v>
      </c>
      <c r="E61" s="1">
        <v>0.59699579999999997</v>
      </c>
      <c r="F61" s="1">
        <v>0.81263660000000004</v>
      </c>
      <c r="H61" s="3">
        <f t="shared" si="0"/>
        <v>0.35390064935064941</v>
      </c>
      <c r="I61" s="1">
        <f t="shared" si="1"/>
        <v>0</v>
      </c>
      <c r="J61" s="1">
        <f t="shared" si="2"/>
        <v>0</v>
      </c>
      <c r="K61" s="1">
        <f t="shared" si="3"/>
        <v>0</v>
      </c>
      <c r="L61" s="1">
        <f t="shared" si="4"/>
        <v>1</v>
      </c>
      <c r="M61" s="1">
        <f t="shared" si="5"/>
        <v>0</v>
      </c>
    </row>
    <row r="62" spans="1:13" x14ac:dyDescent="0.3">
      <c r="A62" s="1" t="s">
        <v>73</v>
      </c>
      <c r="B62" s="1">
        <v>51</v>
      </c>
      <c r="C62" s="1">
        <v>86</v>
      </c>
      <c r="D62" s="1">
        <v>0.50600003999999998</v>
      </c>
      <c r="E62" s="1">
        <v>0.15727479999999999</v>
      </c>
      <c r="F62" s="1">
        <v>0.21408403000000001</v>
      </c>
      <c r="H62" s="3">
        <f t="shared" si="0"/>
        <v>0.68918026172488045</v>
      </c>
      <c r="I62" s="1">
        <f t="shared" si="1"/>
        <v>0</v>
      </c>
      <c r="J62" s="1">
        <f t="shared" si="2"/>
        <v>0</v>
      </c>
      <c r="K62" s="1">
        <f t="shared" si="3"/>
        <v>1</v>
      </c>
      <c r="L62" s="1">
        <f t="shared" si="4"/>
        <v>0</v>
      </c>
      <c r="M62" s="1">
        <f t="shared" si="5"/>
        <v>0</v>
      </c>
    </row>
    <row r="63" spans="1:13" x14ac:dyDescent="0.3">
      <c r="A63" s="1" t="s">
        <v>74</v>
      </c>
      <c r="B63" s="1">
        <v>53</v>
      </c>
      <c r="C63" s="1">
        <v>80</v>
      </c>
      <c r="D63" s="1">
        <v>74879.990000000005</v>
      </c>
      <c r="E63" s="1">
        <v>2852.1212999999998</v>
      </c>
      <c r="F63" s="1">
        <v>3882.3359999999998</v>
      </c>
      <c r="H63" s="3">
        <f t="shared" si="0"/>
        <v>0.96191076815047649</v>
      </c>
      <c r="I63" s="1">
        <f t="shared" si="1"/>
        <v>0</v>
      </c>
      <c r="J63" s="1">
        <f t="shared" si="2"/>
        <v>0</v>
      </c>
      <c r="K63" s="1">
        <f t="shared" si="3"/>
        <v>1</v>
      </c>
      <c r="L63" s="1">
        <f t="shared" si="4"/>
        <v>0</v>
      </c>
      <c r="M63" s="1">
        <f t="shared" si="5"/>
        <v>0</v>
      </c>
    </row>
    <row r="64" spans="1:13" x14ac:dyDescent="0.3">
      <c r="A64" s="1" t="s">
        <v>75</v>
      </c>
      <c r="B64" s="1">
        <v>53</v>
      </c>
      <c r="C64" s="1">
        <v>85</v>
      </c>
      <c r="D64" s="1">
        <v>6.3029999999999999</v>
      </c>
      <c r="E64" s="1">
        <v>2.6443409999999998</v>
      </c>
      <c r="F64" s="1">
        <v>3.5995032999999999</v>
      </c>
      <c r="H64" s="3">
        <f t="shared" si="0"/>
        <v>0.58046311280342699</v>
      </c>
      <c r="I64" s="1">
        <f t="shared" si="1"/>
        <v>0</v>
      </c>
      <c r="J64" s="1">
        <f t="shared" si="2"/>
        <v>0</v>
      </c>
      <c r="K64" s="1">
        <f t="shared" si="3"/>
        <v>1</v>
      </c>
      <c r="L64" s="1">
        <f t="shared" si="4"/>
        <v>0</v>
      </c>
      <c r="M64" s="1">
        <f t="shared" si="5"/>
        <v>0</v>
      </c>
    </row>
    <row r="65" spans="1:13" x14ac:dyDescent="0.3">
      <c r="A65" s="1" t="s">
        <v>76</v>
      </c>
      <c r="B65" s="1">
        <v>53</v>
      </c>
      <c r="C65" s="1">
        <v>82</v>
      </c>
      <c r="D65" s="1">
        <v>23580</v>
      </c>
      <c r="E65" s="1">
        <v>416.98212000000001</v>
      </c>
      <c r="F65" s="1">
        <v>567.60019999999997</v>
      </c>
      <c r="H65" s="3">
        <f t="shared" si="0"/>
        <v>0.98231627989821879</v>
      </c>
      <c r="I65" s="1">
        <f t="shared" si="1"/>
        <v>0</v>
      </c>
      <c r="J65" s="1">
        <f t="shared" si="2"/>
        <v>0</v>
      </c>
      <c r="K65" s="1">
        <f t="shared" si="3"/>
        <v>1</v>
      </c>
      <c r="L65" s="1">
        <f t="shared" si="4"/>
        <v>0</v>
      </c>
      <c r="M65" s="1">
        <f t="shared" si="5"/>
        <v>0</v>
      </c>
    </row>
    <row r="66" spans="1:13" x14ac:dyDescent="0.3">
      <c r="A66" s="1" t="s">
        <v>77</v>
      </c>
      <c r="B66" s="1">
        <v>54</v>
      </c>
      <c r="C66" s="1">
        <v>79</v>
      </c>
      <c r="D66" s="1">
        <v>453375.34</v>
      </c>
      <c r="E66" s="1">
        <v>127053.25</v>
      </c>
      <c r="F66" s="1">
        <v>172946.16</v>
      </c>
      <c r="H66" s="3">
        <f t="shared" si="0"/>
        <v>0.71976144534018993</v>
      </c>
      <c r="I66" s="1">
        <f t="shared" si="1"/>
        <v>0</v>
      </c>
      <c r="J66" s="1">
        <f t="shared" si="2"/>
        <v>0</v>
      </c>
      <c r="K66" s="1">
        <f t="shared" si="3"/>
        <v>1</v>
      </c>
      <c r="L66" s="1">
        <f t="shared" si="4"/>
        <v>0</v>
      </c>
      <c r="M66" s="1">
        <f t="shared" si="5"/>
        <v>0</v>
      </c>
    </row>
    <row r="67" spans="1:13" x14ac:dyDescent="0.3">
      <c r="A67" s="1" t="s">
        <v>78</v>
      </c>
      <c r="B67" s="1">
        <v>54</v>
      </c>
      <c r="C67" s="1">
        <v>81</v>
      </c>
      <c r="D67" s="1">
        <v>33004.800000000003</v>
      </c>
      <c r="E67" s="1">
        <v>20122.916000000001</v>
      </c>
      <c r="F67" s="1">
        <v>27391.513999999999</v>
      </c>
      <c r="H67" s="3">
        <f t="shared" ref="H67:H119" si="6">ABS(D67-E67)/D67</f>
        <v>0.39030334981578441</v>
      </c>
      <c r="I67" s="1">
        <f t="shared" ref="I67:I119" si="7">IF(H67&gt;10,1,0)</f>
        <v>0</v>
      </c>
      <c r="J67" s="1">
        <f t="shared" ref="J67:J119" si="8">IF(AND(H67&lt;=10,H67&gt;1),1,0)</f>
        <v>0</v>
      </c>
      <c r="K67" s="1">
        <f t="shared" ref="K67:K119" si="9">IF(AND(H67&lt;=1,H67&gt;0.5),1,0)</f>
        <v>0</v>
      </c>
      <c r="L67" s="1">
        <f t="shared" ref="L67:L119" si="10">IF(AND(H67&lt;=0.5,H67&gt;0.1),1,0)</f>
        <v>1</v>
      </c>
      <c r="M67" s="1">
        <f t="shared" ref="M67:M119" si="11">IF(AND(H67&lt;=0.1),1,0)</f>
        <v>0</v>
      </c>
    </row>
    <row r="68" spans="1:13" x14ac:dyDescent="0.3">
      <c r="A68" s="1" t="s">
        <v>79</v>
      </c>
      <c r="B68" s="1">
        <v>54</v>
      </c>
      <c r="C68" s="1">
        <v>93</v>
      </c>
      <c r="D68" s="1">
        <v>8.7999999999999995E-2</v>
      </c>
      <c r="E68" s="1">
        <v>0.16288832</v>
      </c>
      <c r="F68" s="1">
        <v>0.22172521000000001</v>
      </c>
      <c r="H68" s="3">
        <f t="shared" si="6"/>
        <v>0.85100363636363652</v>
      </c>
      <c r="I68" s="1">
        <f t="shared" si="7"/>
        <v>0</v>
      </c>
      <c r="J68" s="1">
        <f t="shared" si="8"/>
        <v>0</v>
      </c>
      <c r="K68" s="1">
        <f t="shared" si="9"/>
        <v>1</v>
      </c>
      <c r="L68" s="1">
        <f t="shared" si="10"/>
        <v>0</v>
      </c>
      <c r="M68" s="1">
        <f t="shared" si="11"/>
        <v>0</v>
      </c>
    </row>
    <row r="69" spans="1:13" x14ac:dyDescent="0.3">
      <c r="A69" s="1" t="s">
        <v>80</v>
      </c>
      <c r="B69" s="1">
        <v>55</v>
      </c>
      <c r="C69" s="1">
        <v>88</v>
      </c>
      <c r="D69" s="1">
        <v>1.7949999999999999</v>
      </c>
      <c r="E69" s="1">
        <v>22.332042999999999</v>
      </c>
      <c r="F69" s="1">
        <v>30.398599999999998</v>
      </c>
      <c r="H69" s="3">
        <f t="shared" si="6"/>
        <v>11.4412495821727</v>
      </c>
      <c r="I69" s="1">
        <f t="shared" si="7"/>
        <v>1</v>
      </c>
      <c r="J69" s="1">
        <f t="shared" si="8"/>
        <v>0</v>
      </c>
      <c r="K69" s="1">
        <f t="shared" si="9"/>
        <v>0</v>
      </c>
      <c r="L69" s="1">
        <f t="shared" si="10"/>
        <v>0</v>
      </c>
      <c r="M69" s="1">
        <f t="shared" si="11"/>
        <v>0</v>
      </c>
    </row>
    <row r="70" spans="1:13" x14ac:dyDescent="0.3">
      <c r="A70" s="1" t="s">
        <v>81</v>
      </c>
      <c r="B70" s="1">
        <v>56</v>
      </c>
      <c r="C70" s="1">
        <v>84</v>
      </c>
      <c r="D70" s="1">
        <v>1101824.2</v>
      </c>
      <c r="E70" s="1">
        <v>6491.8450000000003</v>
      </c>
      <c r="F70" s="1">
        <v>8836.7649999999994</v>
      </c>
      <c r="H70" s="3">
        <f t="shared" si="6"/>
        <v>0.99410809365051156</v>
      </c>
      <c r="I70" s="1">
        <f t="shared" si="7"/>
        <v>0</v>
      </c>
      <c r="J70" s="1">
        <f t="shared" si="8"/>
        <v>0</v>
      </c>
      <c r="K70" s="1">
        <f t="shared" si="9"/>
        <v>1</v>
      </c>
      <c r="L70" s="1">
        <f t="shared" si="10"/>
        <v>0</v>
      </c>
      <c r="M70" s="1">
        <f t="shared" si="11"/>
        <v>0</v>
      </c>
    </row>
    <row r="71" spans="1:13" x14ac:dyDescent="0.3">
      <c r="A71" s="1" t="s">
        <v>82</v>
      </c>
      <c r="B71" s="1">
        <v>56</v>
      </c>
      <c r="C71" s="1">
        <v>89</v>
      </c>
      <c r="D71" s="1">
        <v>3.99</v>
      </c>
      <c r="E71" s="1">
        <v>9.2095175000000005</v>
      </c>
      <c r="F71" s="1">
        <v>12.536087</v>
      </c>
      <c r="H71" s="3">
        <f t="shared" si="6"/>
        <v>1.3081497493734335</v>
      </c>
      <c r="I71" s="1">
        <f t="shared" si="7"/>
        <v>0</v>
      </c>
      <c r="J71" s="1">
        <f t="shared" si="8"/>
        <v>1</v>
      </c>
      <c r="K71" s="1">
        <f t="shared" si="9"/>
        <v>0</v>
      </c>
      <c r="L71" s="1">
        <f t="shared" si="10"/>
        <v>0</v>
      </c>
      <c r="M71" s="1">
        <f t="shared" si="11"/>
        <v>0</v>
      </c>
    </row>
    <row r="72" spans="1:13" x14ac:dyDescent="0.3">
      <c r="A72" s="1" t="s">
        <v>83</v>
      </c>
      <c r="B72" s="1">
        <v>57</v>
      </c>
      <c r="C72" s="1">
        <v>95</v>
      </c>
      <c r="D72" s="1">
        <v>0.29799999999999999</v>
      </c>
      <c r="E72" s="1">
        <v>0.39554574999999997</v>
      </c>
      <c r="F72" s="1">
        <v>0.53842086</v>
      </c>
      <c r="H72" s="3">
        <f t="shared" si="6"/>
        <v>0.32733473154362414</v>
      </c>
      <c r="I72" s="1">
        <f t="shared" si="7"/>
        <v>0</v>
      </c>
      <c r="J72" s="1">
        <f t="shared" si="8"/>
        <v>0</v>
      </c>
      <c r="K72" s="1">
        <f t="shared" si="9"/>
        <v>0</v>
      </c>
      <c r="L72" s="1">
        <f t="shared" si="10"/>
        <v>1</v>
      </c>
      <c r="M72" s="1">
        <f t="shared" si="11"/>
        <v>0</v>
      </c>
    </row>
    <row r="73" spans="1:13" x14ac:dyDescent="0.3">
      <c r="A73" s="1" t="s">
        <v>84</v>
      </c>
      <c r="B73" s="1">
        <v>57</v>
      </c>
      <c r="C73" s="1">
        <v>90</v>
      </c>
      <c r="D73" s="1">
        <v>4.0239997000000001</v>
      </c>
      <c r="E73" s="1">
        <v>11.74338</v>
      </c>
      <c r="F73" s="1">
        <v>15.985206</v>
      </c>
      <c r="H73" s="3">
        <f t="shared" si="6"/>
        <v>1.9183352076293643</v>
      </c>
      <c r="I73" s="1">
        <f t="shared" si="7"/>
        <v>0</v>
      </c>
      <c r="J73" s="1">
        <f t="shared" si="8"/>
        <v>1</v>
      </c>
      <c r="K73" s="1">
        <f t="shared" si="9"/>
        <v>0</v>
      </c>
      <c r="L73" s="1">
        <f t="shared" si="10"/>
        <v>0</v>
      </c>
      <c r="M73" s="1">
        <f t="shared" si="11"/>
        <v>0</v>
      </c>
    </row>
    <row r="74" spans="1:13" x14ac:dyDescent="0.3">
      <c r="A74" s="1" t="s">
        <v>85</v>
      </c>
      <c r="B74" s="1">
        <v>60</v>
      </c>
      <c r="C74" s="1">
        <v>96</v>
      </c>
      <c r="D74" s="1">
        <v>5.2700005000000001</v>
      </c>
      <c r="E74" s="1">
        <v>8.3804660000000002</v>
      </c>
      <c r="F74" s="1">
        <v>11.407575</v>
      </c>
      <c r="H74" s="3">
        <f t="shared" si="6"/>
        <v>0.59022110149704921</v>
      </c>
      <c r="I74" s="1">
        <f t="shared" si="7"/>
        <v>0</v>
      </c>
      <c r="J74" s="1">
        <f t="shared" si="8"/>
        <v>0</v>
      </c>
      <c r="K74" s="1">
        <f t="shared" si="9"/>
        <v>1</v>
      </c>
      <c r="L74" s="1">
        <f t="shared" si="10"/>
        <v>0</v>
      </c>
      <c r="M74" s="1">
        <f t="shared" si="11"/>
        <v>0</v>
      </c>
    </row>
    <row r="75" spans="1:13" x14ac:dyDescent="0.3">
      <c r="A75" s="1" t="s">
        <v>86</v>
      </c>
      <c r="B75" s="1">
        <v>61</v>
      </c>
      <c r="C75" s="1">
        <v>92</v>
      </c>
      <c r="D75" s="1">
        <v>315</v>
      </c>
      <c r="E75" s="1">
        <v>1401.8815999999999</v>
      </c>
      <c r="F75" s="1">
        <v>1908.2552000000001</v>
      </c>
      <c r="H75" s="3">
        <f t="shared" si="6"/>
        <v>3.4504177777777776</v>
      </c>
      <c r="I75" s="1">
        <f t="shared" si="7"/>
        <v>0</v>
      </c>
      <c r="J75" s="1">
        <f t="shared" si="8"/>
        <v>1</v>
      </c>
      <c r="K75" s="1">
        <f t="shared" si="9"/>
        <v>0</v>
      </c>
      <c r="L75" s="1">
        <f t="shared" si="10"/>
        <v>0</v>
      </c>
      <c r="M75" s="1">
        <f t="shared" si="11"/>
        <v>0</v>
      </c>
    </row>
    <row r="76" spans="1:13" x14ac:dyDescent="0.3">
      <c r="A76" s="1" t="s">
        <v>87</v>
      </c>
      <c r="B76" s="1">
        <v>61</v>
      </c>
      <c r="C76" s="1">
        <v>102</v>
      </c>
      <c r="D76" s="1">
        <v>0.36299999999999999</v>
      </c>
      <c r="E76" s="1">
        <v>0.51430975999999995</v>
      </c>
      <c r="F76" s="1">
        <v>0.70008360000000003</v>
      </c>
      <c r="H76" s="3">
        <f t="shared" si="6"/>
        <v>0.41683129476584013</v>
      </c>
      <c r="I76" s="1">
        <f t="shared" si="7"/>
        <v>0</v>
      </c>
      <c r="J76" s="1">
        <f t="shared" si="8"/>
        <v>0</v>
      </c>
      <c r="K76" s="1">
        <f t="shared" si="9"/>
        <v>0</v>
      </c>
      <c r="L76" s="1">
        <f t="shared" si="10"/>
        <v>1</v>
      </c>
      <c r="M76" s="1">
        <f t="shared" si="11"/>
        <v>0</v>
      </c>
    </row>
    <row r="77" spans="1:13" x14ac:dyDescent="0.3">
      <c r="A77" s="1" t="s">
        <v>88</v>
      </c>
      <c r="B77" s="1">
        <v>62</v>
      </c>
      <c r="C77" s="1">
        <v>105</v>
      </c>
      <c r="D77" s="1">
        <v>0.33400000000000002</v>
      </c>
      <c r="E77" s="1">
        <v>0.29993694999999998</v>
      </c>
      <c r="F77" s="1">
        <v>0.40827718000000002</v>
      </c>
      <c r="H77" s="3">
        <f t="shared" si="6"/>
        <v>0.10198517964071867</v>
      </c>
      <c r="I77" s="1">
        <f t="shared" si="7"/>
        <v>0</v>
      </c>
      <c r="J77" s="1">
        <f t="shared" si="8"/>
        <v>0</v>
      </c>
      <c r="K77" s="1">
        <f t="shared" si="9"/>
        <v>0</v>
      </c>
      <c r="L77" s="1">
        <f t="shared" si="10"/>
        <v>1</v>
      </c>
      <c r="M77" s="1">
        <f t="shared" si="11"/>
        <v>0</v>
      </c>
    </row>
    <row r="78" spans="1:13" x14ac:dyDescent="0.3">
      <c r="A78" s="1" t="s">
        <v>89</v>
      </c>
      <c r="B78" s="1">
        <v>62</v>
      </c>
      <c r="C78" s="1">
        <v>95</v>
      </c>
      <c r="D78" s="1">
        <v>482.4</v>
      </c>
      <c r="E78" s="1">
        <v>164.78232</v>
      </c>
      <c r="F78" s="1">
        <v>224.30333999999999</v>
      </c>
      <c r="H78" s="3">
        <f t="shared" si="6"/>
        <v>0.65841144278606956</v>
      </c>
      <c r="I78" s="1">
        <f t="shared" si="7"/>
        <v>0</v>
      </c>
      <c r="J78" s="1">
        <f t="shared" si="8"/>
        <v>0</v>
      </c>
      <c r="K78" s="1">
        <f t="shared" si="9"/>
        <v>1</v>
      </c>
      <c r="L78" s="1">
        <f t="shared" si="10"/>
        <v>0</v>
      </c>
      <c r="M78" s="1">
        <f t="shared" si="11"/>
        <v>0</v>
      </c>
    </row>
    <row r="79" spans="1:13" x14ac:dyDescent="0.3">
      <c r="A79" s="1" t="s">
        <v>90</v>
      </c>
      <c r="B79" s="1">
        <v>63</v>
      </c>
      <c r="C79" s="1">
        <v>107</v>
      </c>
      <c r="D79" s="1">
        <v>0.19699997999999999</v>
      </c>
      <c r="E79" s="1">
        <v>0.31125482999999998</v>
      </c>
      <c r="F79" s="1">
        <v>0.42368319999999998</v>
      </c>
      <c r="H79" s="3">
        <f t="shared" si="6"/>
        <v>0.57997391674862098</v>
      </c>
      <c r="I79" s="1">
        <f t="shared" si="7"/>
        <v>0</v>
      </c>
      <c r="J79" s="1">
        <f t="shared" si="8"/>
        <v>0</v>
      </c>
      <c r="K79" s="1">
        <f t="shared" si="9"/>
        <v>1</v>
      </c>
      <c r="L79" s="1">
        <f t="shared" si="10"/>
        <v>0</v>
      </c>
      <c r="M79" s="1">
        <f t="shared" si="11"/>
        <v>0</v>
      </c>
    </row>
    <row r="80" spans="1:13" x14ac:dyDescent="0.3">
      <c r="A80" s="1" t="s">
        <v>91</v>
      </c>
      <c r="B80" s="1">
        <v>63</v>
      </c>
      <c r="C80" s="1">
        <v>101</v>
      </c>
      <c r="D80" s="1">
        <v>4.08</v>
      </c>
      <c r="E80" s="1">
        <v>3.6101725</v>
      </c>
      <c r="F80" s="1">
        <v>4.9142026999999997</v>
      </c>
      <c r="H80" s="3">
        <f t="shared" si="6"/>
        <v>0.11515379901960786</v>
      </c>
      <c r="I80" s="1">
        <f t="shared" si="7"/>
        <v>0</v>
      </c>
      <c r="J80" s="1">
        <f t="shared" si="8"/>
        <v>0</v>
      </c>
      <c r="K80" s="1">
        <f t="shared" si="9"/>
        <v>0</v>
      </c>
      <c r="L80" s="1">
        <f t="shared" si="10"/>
        <v>1</v>
      </c>
      <c r="M80" s="1">
        <f t="shared" si="11"/>
        <v>0</v>
      </c>
    </row>
    <row r="81" spans="1:13" x14ac:dyDescent="0.3">
      <c r="A81" s="1" t="s">
        <v>92</v>
      </c>
      <c r="B81" s="1">
        <v>63</v>
      </c>
      <c r="C81" s="1">
        <v>96</v>
      </c>
      <c r="D81" s="1">
        <v>1085.9999</v>
      </c>
      <c r="E81" s="1">
        <v>681.47973999999999</v>
      </c>
      <c r="F81" s="1">
        <v>927.63699999999994</v>
      </c>
      <c r="H81" s="3">
        <f t="shared" si="6"/>
        <v>0.37248636947388303</v>
      </c>
      <c r="I81" s="1">
        <f t="shared" si="7"/>
        <v>0</v>
      </c>
      <c r="J81" s="1">
        <f t="shared" si="8"/>
        <v>0</v>
      </c>
      <c r="K81" s="1">
        <f t="shared" si="9"/>
        <v>0</v>
      </c>
      <c r="L81" s="1">
        <f t="shared" si="10"/>
        <v>1</v>
      </c>
      <c r="M81" s="1">
        <f t="shared" si="11"/>
        <v>0</v>
      </c>
    </row>
    <row r="82" spans="1:13" x14ac:dyDescent="0.3">
      <c r="A82" s="1" t="s">
        <v>93</v>
      </c>
      <c r="B82" s="1">
        <v>63</v>
      </c>
      <c r="C82" s="1">
        <v>99</v>
      </c>
      <c r="D82" s="1">
        <v>11.699999</v>
      </c>
      <c r="E82" s="1">
        <v>4.3717855999999999</v>
      </c>
      <c r="F82" s="1">
        <v>5.9509179999999997</v>
      </c>
      <c r="H82" s="3">
        <f t="shared" si="6"/>
        <v>0.62634307917462217</v>
      </c>
      <c r="I82" s="1">
        <f t="shared" si="7"/>
        <v>0</v>
      </c>
      <c r="J82" s="1">
        <f t="shared" si="8"/>
        <v>0</v>
      </c>
      <c r="K82" s="1">
        <f t="shared" si="9"/>
        <v>1</v>
      </c>
      <c r="L82" s="1">
        <f t="shared" si="10"/>
        <v>0</v>
      </c>
      <c r="M82" s="1">
        <f t="shared" si="11"/>
        <v>0</v>
      </c>
    </row>
    <row r="83" spans="1:13" x14ac:dyDescent="0.3">
      <c r="A83" s="1" t="s">
        <v>94</v>
      </c>
      <c r="B83" s="1">
        <v>64</v>
      </c>
      <c r="C83" s="1">
        <v>97</v>
      </c>
      <c r="D83" s="1">
        <v>219.60002</v>
      </c>
      <c r="E83" s="1">
        <v>1096.2073</v>
      </c>
      <c r="F83" s="1">
        <v>1492.1683</v>
      </c>
      <c r="H83" s="3">
        <f t="shared" si="6"/>
        <v>3.9918360663172985</v>
      </c>
      <c r="I83" s="1">
        <f t="shared" si="7"/>
        <v>0</v>
      </c>
      <c r="J83" s="1">
        <f t="shared" si="8"/>
        <v>1</v>
      </c>
      <c r="K83" s="1">
        <f t="shared" si="9"/>
        <v>0</v>
      </c>
      <c r="L83" s="1">
        <f t="shared" si="10"/>
        <v>0</v>
      </c>
      <c r="M83" s="1">
        <f t="shared" si="11"/>
        <v>0</v>
      </c>
    </row>
    <row r="84" spans="1:13" x14ac:dyDescent="0.3">
      <c r="A84" s="1" t="s">
        <v>95</v>
      </c>
      <c r="B84" s="1">
        <v>65</v>
      </c>
      <c r="C84" s="1">
        <v>102</v>
      </c>
      <c r="D84" s="1">
        <v>18.900002000000001</v>
      </c>
      <c r="E84" s="1">
        <v>50.970936000000002</v>
      </c>
      <c r="F84" s="1">
        <v>69.382149999999996</v>
      </c>
      <c r="H84" s="3">
        <f t="shared" si="6"/>
        <v>1.6968746352513613</v>
      </c>
      <c r="I84" s="1">
        <f t="shared" si="7"/>
        <v>0</v>
      </c>
      <c r="J84" s="1">
        <f t="shared" si="8"/>
        <v>1</v>
      </c>
      <c r="K84" s="1">
        <f t="shared" si="9"/>
        <v>0</v>
      </c>
      <c r="L84" s="1">
        <f t="shared" si="10"/>
        <v>0</v>
      </c>
      <c r="M84" s="1">
        <f t="shared" si="11"/>
        <v>0</v>
      </c>
    </row>
    <row r="85" spans="1:13" x14ac:dyDescent="0.3">
      <c r="A85" s="1" t="s">
        <v>96</v>
      </c>
      <c r="B85" s="1">
        <v>66</v>
      </c>
      <c r="C85" s="1">
        <v>101</v>
      </c>
      <c r="D85" s="1">
        <v>372.00009999999997</v>
      </c>
      <c r="E85" s="1">
        <v>96.570809999999994</v>
      </c>
      <c r="F85" s="1">
        <v>131.45316</v>
      </c>
      <c r="H85" s="3">
        <f t="shared" si="6"/>
        <v>0.74040111817174248</v>
      </c>
      <c r="I85" s="1">
        <f t="shared" si="7"/>
        <v>0</v>
      </c>
      <c r="J85" s="1">
        <f t="shared" si="8"/>
        <v>0</v>
      </c>
      <c r="K85" s="1">
        <f t="shared" si="9"/>
        <v>1</v>
      </c>
      <c r="L85" s="1">
        <f t="shared" si="10"/>
        <v>0</v>
      </c>
      <c r="M85" s="1">
        <f t="shared" si="11"/>
        <v>0</v>
      </c>
    </row>
    <row r="86" spans="1:13" x14ac:dyDescent="0.3">
      <c r="A86" s="1" t="s">
        <v>97</v>
      </c>
      <c r="B86" s="1">
        <v>69</v>
      </c>
      <c r="C86" s="1">
        <v>107</v>
      </c>
      <c r="D86" s="1">
        <v>111.18001</v>
      </c>
      <c r="E86" s="1">
        <v>204.63316</v>
      </c>
      <c r="F86" s="1">
        <v>278.5487</v>
      </c>
      <c r="H86" s="3">
        <f t="shared" si="6"/>
        <v>0.84055712892992196</v>
      </c>
      <c r="I86" s="1">
        <f t="shared" si="7"/>
        <v>0</v>
      </c>
      <c r="J86" s="1">
        <f t="shared" si="8"/>
        <v>0</v>
      </c>
      <c r="K86" s="1">
        <f t="shared" si="9"/>
        <v>1</v>
      </c>
      <c r="L86" s="1">
        <f t="shared" si="10"/>
        <v>0</v>
      </c>
      <c r="M86" s="1">
        <f t="shared" si="11"/>
        <v>0</v>
      </c>
    </row>
    <row r="87" spans="1:13" x14ac:dyDescent="0.3">
      <c r="A87" s="1" t="s">
        <v>98</v>
      </c>
      <c r="B87" s="1">
        <v>69</v>
      </c>
      <c r="C87" s="1">
        <v>103</v>
      </c>
      <c r="D87" s="1">
        <v>228960.1</v>
      </c>
      <c r="E87" s="1">
        <v>35184.660000000003</v>
      </c>
      <c r="F87" s="1">
        <v>47893.71</v>
      </c>
      <c r="H87" s="3">
        <f t="shared" si="6"/>
        <v>0.84632842141491027</v>
      </c>
      <c r="I87" s="1">
        <f t="shared" si="7"/>
        <v>0</v>
      </c>
      <c r="J87" s="1">
        <f t="shared" si="8"/>
        <v>0</v>
      </c>
      <c r="K87" s="1">
        <f t="shared" si="9"/>
        <v>1</v>
      </c>
      <c r="L87" s="1">
        <f t="shared" si="10"/>
        <v>0</v>
      </c>
      <c r="M87" s="1">
        <f t="shared" si="11"/>
        <v>0</v>
      </c>
    </row>
    <row r="88" spans="1:13" x14ac:dyDescent="0.3">
      <c r="A88" s="1" t="s">
        <v>99</v>
      </c>
      <c r="B88" s="1">
        <v>70</v>
      </c>
      <c r="C88" s="1">
        <v>105</v>
      </c>
      <c r="D88" s="1">
        <v>359553.66</v>
      </c>
      <c r="E88" s="1">
        <v>265923.09999999998</v>
      </c>
      <c r="F88" s="1">
        <v>361977.16</v>
      </c>
      <c r="H88" s="3">
        <f t="shared" si="6"/>
        <v>0.26040775109895975</v>
      </c>
      <c r="I88" s="1">
        <f t="shared" si="7"/>
        <v>0</v>
      </c>
      <c r="J88" s="1">
        <f t="shared" si="8"/>
        <v>0</v>
      </c>
      <c r="K88" s="1">
        <f t="shared" si="9"/>
        <v>0</v>
      </c>
      <c r="L88" s="1">
        <f t="shared" si="10"/>
        <v>1</v>
      </c>
      <c r="M88" s="1">
        <f t="shared" si="11"/>
        <v>0</v>
      </c>
    </row>
    <row r="89" spans="1:13" x14ac:dyDescent="0.3">
      <c r="A89" s="1" t="s">
        <v>100</v>
      </c>
      <c r="B89" s="1">
        <v>70</v>
      </c>
      <c r="C89" s="1">
        <v>109</v>
      </c>
      <c r="D89" s="1">
        <v>480.00002999999998</v>
      </c>
      <c r="E89" s="1">
        <v>287.05297999999999</v>
      </c>
      <c r="F89" s="1">
        <v>390.73937999999998</v>
      </c>
      <c r="H89" s="3">
        <f t="shared" si="6"/>
        <v>0.4019729957100211</v>
      </c>
      <c r="I89" s="1">
        <f t="shared" si="7"/>
        <v>0</v>
      </c>
      <c r="J89" s="1">
        <f t="shared" si="8"/>
        <v>0</v>
      </c>
      <c r="K89" s="1">
        <f t="shared" si="9"/>
        <v>0</v>
      </c>
      <c r="L89" s="1">
        <f t="shared" si="10"/>
        <v>1</v>
      </c>
      <c r="M89" s="1">
        <f t="shared" si="11"/>
        <v>0</v>
      </c>
    </row>
    <row r="90" spans="1:13" x14ac:dyDescent="0.3">
      <c r="A90" s="1" t="s">
        <v>101</v>
      </c>
      <c r="B90" s="1">
        <v>72</v>
      </c>
      <c r="C90" s="1">
        <v>109</v>
      </c>
      <c r="D90" s="1">
        <v>3662494.5</v>
      </c>
      <c r="E90" s="1">
        <v>20636.009999999998</v>
      </c>
      <c r="F90" s="1">
        <v>28089.942999999999</v>
      </c>
      <c r="H90" s="3">
        <f t="shared" si="6"/>
        <v>0.99436558607801329</v>
      </c>
      <c r="I90" s="1">
        <f t="shared" si="7"/>
        <v>0</v>
      </c>
      <c r="J90" s="1">
        <f t="shared" si="8"/>
        <v>0</v>
      </c>
      <c r="K90" s="1">
        <f t="shared" si="9"/>
        <v>1</v>
      </c>
      <c r="L90" s="1">
        <f t="shared" si="10"/>
        <v>0</v>
      </c>
      <c r="M90" s="1">
        <f t="shared" si="11"/>
        <v>0</v>
      </c>
    </row>
    <row r="91" spans="1:13" x14ac:dyDescent="0.3">
      <c r="A91" s="1" t="s">
        <v>102</v>
      </c>
      <c r="B91" s="1">
        <v>73</v>
      </c>
      <c r="C91" s="1">
        <v>107</v>
      </c>
      <c r="D91" s="1">
        <v>29354.405999999999</v>
      </c>
      <c r="E91" s="1">
        <v>60156.633000000002</v>
      </c>
      <c r="F91" s="1">
        <v>81885.81</v>
      </c>
      <c r="H91" s="3">
        <f t="shared" si="6"/>
        <v>1.0493221017655749</v>
      </c>
      <c r="I91" s="1">
        <f t="shared" si="7"/>
        <v>0</v>
      </c>
      <c r="J91" s="1">
        <f t="shared" si="8"/>
        <v>1</v>
      </c>
      <c r="K91" s="1">
        <f t="shared" si="9"/>
        <v>0</v>
      </c>
      <c r="L91" s="1">
        <f t="shared" si="10"/>
        <v>0</v>
      </c>
      <c r="M91" s="1">
        <f t="shared" si="11"/>
        <v>0</v>
      </c>
    </row>
    <row r="92" spans="1:13" x14ac:dyDescent="0.3">
      <c r="A92" s="1" t="s">
        <v>103</v>
      </c>
      <c r="B92" s="1">
        <v>73</v>
      </c>
      <c r="C92" s="1">
        <v>114</v>
      </c>
      <c r="D92" s="1">
        <v>283.00006000000002</v>
      </c>
      <c r="E92" s="1">
        <v>165.50742</v>
      </c>
      <c r="F92" s="1">
        <v>225.29033999999999</v>
      </c>
      <c r="H92" s="3">
        <f t="shared" si="6"/>
        <v>0.41516825120107753</v>
      </c>
      <c r="I92" s="1">
        <f t="shared" si="7"/>
        <v>0</v>
      </c>
      <c r="J92" s="1">
        <f t="shared" si="8"/>
        <v>0</v>
      </c>
      <c r="K92" s="1">
        <f t="shared" si="9"/>
        <v>0</v>
      </c>
      <c r="L92" s="1">
        <f t="shared" si="10"/>
        <v>1</v>
      </c>
      <c r="M92" s="1">
        <f t="shared" si="11"/>
        <v>0</v>
      </c>
    </row>
    <row r="93" spans="1:13" x14ac:dyDescent="0.3">
      <c r="A93" s="1" t="s">
        <v>104</v>
      </c>
      <c r="B93" s="1">
        <v>74</v>
      </c>
      <c r="C93" s="1">
        <v>114</v>
      </c>
      <c r="D93" s="1">
        <v>6028126.5</v>
      </c>
      <c r="E93" s="1">
        <v>45235.355000000003</v>
      </c>
      <c r="F93" s="1">
        <v>61574.815999999999</v>
      </c>
      <c r="H93" s="3">
        <f t="shared" si="6"/>
        <v>0.99249595127109547</v>
      </c>
      <c r="I93" s="1">
        <f t="shared" si="7"/>
        <v>0</v>
      </c>
      <c r="J93" s="1">
        <f t="shared" si="8"/>
        <v>0</v>
      </c>
      <c r="K93" s="1">
        <f t="shared" si="9"/>
        <v>1</v>
      </c>
      <c r="L93" s="1">
        <f t="shared" si="10"/>
        <v>0</v>
      </c>
      <c r="M93" s="1">
        <f t="shared" si="11"/>
        <v>0</v>
      </c>
    </row>
    <row r="94" spans="1:13" x14ac:dyDescent="0.3">
      <c r="A94" s="1" t="s">
        <v>105</v>
      </c>
      <c r="B94" s="1">
        <v>76</v>
      </c>
      <c r="C94" s="1">
        <v>115</v>
      </c>
      <c r="D94" s="1">
        <v>1296000.2</v>
      </c>
      <c r="E94" s="1">
        <v>437344.2</v>
      </c>
      <c r="F94" s="1">
        <v>595317.25</v>
      </c>
      <c r="H94" s="3">
        <f t="shared" si="6"/>
        <v>0.66254310763223645</v>
      </c>
      <c r="I94" s="1">
        <f t="shared" si="7"/>
        <v>0</v>
      </c>
      <c r="J94" s="1">
        <f t="shared" si="8"/>
        <v>0</v>
      </c>
      <c r="K94" s="1">
        <f t="shared" si="9"/>
        <v>1</v>
      </c>
      <c r="L94" s="1">
        <f t="shared" si="10"/>
        <v>0</v>
      </c>
      <c r="M94" s="1">
        <f t="shared" si="11"/>
        <v>0</v>
      </c>
    </row>
    <row r="95" spans="1:13" x14ac:dyDescent="0.3">
      <c r="A95" s="1" t="s">
        <v>106</v>
      </c>
      <c r="B95" s="1">
        <v>77</v>
      </c>
      <c r="C95" s="1">
        <v>123</v>
      </c>
      <c r="D95" s="1">
        <v>43.000003999999997</v>
      </c>
      <c r="E95" s="1">
        <v>18.446929999999998</v>
      </c>
      <c r="F95" s="1">
        <v>25.110146</v>
      </c>
      <c r="H95" s="3">
        <f t="shared" si="6"/>
        <v>0.57100166781379835</v>
      </c>
      <c r="I95" s="1">
        <f t="shared" si="7"/>
        <v>0</v>
      </c>
      <c r="J95" s="1">
        <f t="shared" si="8"/>
        <v>0</v>
      </c>
      <c r="K95" s="1">
        <f t="shared" si="9"/>
        <v>1</v>
      </c>
      <c r="L95" s="1">
        <f t="shared" si="10"/>
        <v>0</v>
      </c>
      <c r="M95" s="1">
        <f t="shared" si="11"/>
        <v>0</v>
      </c>
    </row>
    <row r="96" spans="1:13" x14ac:dyDescent="0.3">
      <c r="A96" s="1" t="s">
        <v>107</v>
      </c>
      <c r="B96" s="1">
        <v>77</v>
      </c>
      <c r="C96" s="1">
        <v>122</v>
      </c>
      <c r="D96" s="1">
        <v>6.0000004999999996</v>
      </c>
      <c r="E96" s="1">
        <v>56.756138</v>
      </c>
      <c r="F96" s="1">
        <v>77.257019999999997</v>
      </c>
      <c r="H96" s="3">
        <f t="shared" si="6"/>
        <v>8.4593555450537057</v>
      </c>
      <c r="I96" s="1">
        <f t="shared" si="7"/>
        <v>0</v>
      </c>
      <c r="J96" s="1">
        <f t="shared" si="8"/>
        <v>1</v>
      </c>
      <c r="K96" s="1">
        <f t="shared" si="9"/>
        <v>0</v>
      </c>
      <c r="L96" s="1">
        <f t="shared" si="10"/>
        <v>0</v>
      </c>
      <c r="M96" s="1">
        <f t="shared" si="11"/>
        <v>0</v>
      </c>
    </row>
    <row r="97" spans="1:13" x14ac:dyDescent="0.3">
      <c r="A97" s="1" t="s">
        <v>108</v>
      </c>
      <c r="B97" s="1">
        <v>78</v>
      </c>
      <c r="C97" s="1">
        <v>121</v>
      </c>
      <c r="D97" s="1">
        <v>1830.6002000000001</v>
      </c>
      <c r="E97" s="1">
        <v>1043.7463</v>
      </c>
      <c r="F97" s="1">
        <v>1420.7579000000001</v>
      </c>
      <c r="H97" s="3">
        <f t="shared" si="6"/>
        <v>0.42983383264133807</v>
      </c>
      <c r="I97" s="1">
        <f t="shared" si="7"/>
        <v>0</v>
      </c>
      <c r="J97" s="1">
        <f t="shared" si="8"/>
        <v>0</v>
      </c>
      <c r="K97" s="1">
        <f t="shared" si="9"/>
        <v>0</v>
      </c>
      <c r="L97" s="1">
        <f t="shared" si="10"/>
        <v>1</v>
      </c>
      <c r="M97" s="1">
        <f t="shared" si="11"/>
        <v>0</v>
      </c>
    </row>
    <row r="98" spans="1:13" x14ac:dyDescent="0.3">
      <c r="A98" s="1" t="s">
        <v>109</v>
      </c>
      <c r="B98" s="1">
        <v>79</v>
      </c>
      <c r="C98" s="1">
        <v>122</v>
      </c>
      <c r="D98" s="1">
        <v>1559.9998000000001</v>
      </c>
      <c r="E98" s="1">
        <v>40456.644999999997</v>
      </c>
      <c r="F98" s="1">
        <v>55069.99</v>
      </c>
      <c r="H98" s="3">
        <f t="shared" si="6"/>
        <v>24.933750119711551</v>
      </c>
      <c r="I98" s="1">
        <f t="shared" si="7"/>
        <v>1</v>
      </c>
      <c r="J98" s="1">
        <f t="shared" si="8"/>
        <v>0</v>
      </c>
      <c r="K98" s="1">
        <f t="shared" si="9"/>
        <v>0</v>
      </c>
      <c r="L98" s="1">
        <f t="shared" si="10"/>
        <v>0</v>
      </c>
      <c r="M98" s="1">
        <f t="shared" si="11"/>
        <v>0</v>
      </c>
    </row>
    <row r="99" spans="1:13" x14ac:dyDescent="0.3">
      <c r="A99" s="1" t="s">
        <v>110</v>
      </c>
      <c r="B99" s="1">
        <v>79</v>
      </c>
      <c r="C99" s="1">
        <v>120</v>
      </c>
      <c r="D99" s="1">
        <v>270863.94</v>
      </c>
      <c r="E99" s="1">
        <v>527034.4</v>
      </c>
      <c r="F99" s="1">
        <v>717404.44</v>
      </c>
      <c r="H99" s="3">
        <f t="shared" si="6"/>
        <v>0.94575328114919988</v>
      </c>
      <c r="I99" s="1">
        <f t="shared" si="7"/>
        <v>0</v>
      </c>
      <c r="J99" s="1">
        <f t="shared" si="8"/>
        <v>0</v>
      </c>
      <c r="K99" s="1">
        <f t="shared" si="9"/>
        <v>1</v>
      </c>
      <c r="L99" s="1">
        <f t="shared" si="10"/>
        <v>0</v>
      </c>
      <c r="M99" s="1">
        <f t="shared" si="11"/>
        <v>0</v>
      </c>
    </row>
    <row r="100" spans="1:13" x14ac:dyDescent="0.3">
      <c r="A100" s="1" t="s">
        <v>111</v>
      </c>
      <c r="B100" s="1">
        <v>79</v>
      </c>
      <c r="C100" s="1">
        <v>127</v>
      </c>
      <c r="D100" s="1">
        <v>46.999991999999999</v>
      </c>
      <c r="E100" s="1">
        <v>15.426031999999999</v>
      </c>
      <c r="F100" s="1">
        <v>20.998069999999998</v>
      </c>
      <c r="H100" s="3">
        <f t="shared" si="6"/>
        <v>0.67178649732536122</v>
      </c>
      <c r="I100" s="1">
        <f t="shared" si="7"/>
        <v>0</v>
      </c>
      <c r="J100" s="1">
        <f t="shared" si="8"/>
        <v>0</v>
      </c>
      <c r="K100" s="1">
        <f t="shared" si="9"/>
        <v>1</v>
      </c>
      <c r="L100" s="1">
        <f t="shared" si="10"/>
        <v>0</v>
      </c>
      <c r="M100" s="1">
        <f t="shared" si="11"/>
        <v>0</v>
      </c>
    </row>
    <row r="101" spans="1:13" x14ac:dyDescent="0.3">
      <c r="A101" s="1" t="s">
        <v>112</v>
      </c>
      <c r="B101" s="1">
        <v>80</v>
      </c>
      <c r="C101" s="1">
        <v>128</v>
      </c>
      <c r="D101" s="1">
        <v>134.99996999999999</v>
      </c>
      <c r="E101" s="1">
        <v>71.815330000000003</v>
      </c>
      <c r="F101" s="1">
        <v>97.755745000000005</v>
      </c>
      <c r="H101" s="3">
        <f t="shared" si="6"/>
        <v>0.46803447437803131</v>
      </c>
      <c r="I101" s="1">
        <f t="shared" si="7"/>
        <v>0</v>
      </c>
      <c r="J101" s="1">
        <f t="shared" si="8"/>
        <v>0</v>
      </c>
      <c r="K101" s="1">
        <f t="shared" si="9"/>
        <v>0</v>
      </c>
      <c r="L101" s="1">
        <f t="shared" si="10"/>
        <v>1</v>
      </c>
      <c r="M101" s="1">
        <f t="shared" si="11"/>
        <v>0</v>
      </c>
    </row>
    <row r="102" spans="1:13" x14ac:dyDescent="0.3">
      <c r="A102" s="1" t="s">
        <v>113</v>
      </c>
      <c r="B102" s="1">
        <v>80</v>
      </c>
      <c r="C102" s="1">
        <v>129</v>
      </c>
      <c r="D102" s="1">
        <v>6.2999996999999999</v>
      </c>
      <c r="E102" s="1">
        <v>8.7985749999999996</v>
      </c>
      <c r="F102" s="1">
        <v>11.976708</v>
      </c>
      <c r="H102" s="3">
        <f t="shared" si="6"/>
        <v>0.39659927285393359</v>
      </c>
      <c r="I102" s="1">
        <f t="shared" si="7"/>
        <v>0</v>
      </c>
      <c r="J102" s="1">
        <f t="shared" si="8"/>
        <v>0</v>
      </c>
      <c r="K102" s="1">
        <f t="shared" si="9"/>
        <v>0</v>
      </c>
      <c r="L102" s="1">
        <f t="shared" si="10"/>
        <v>1</v>
      </c>
      <c r="M102" s="1">
        <f t="shared" si="11"/>
        <v>0</v>
      </c>
    </row>
    <row r="103" spans="1:13" x14ac:dyDescent="0.3">
      <c r="A103" s="1" t="s">
        <v>114</v>
      </c>
      <c r="B103" s="1">
        <v>81</v>
      </c>
      <c r="C103" s="1">
        <v>131</v>
      </c>
      <c r="D103" s="1">
        <v>30.900003000000002</v>
      </c>
      <c r="E103" s="1">
        <v>28.953624999999999</v>
      </c>
      <c r="F103" s="1">
        <v>39.411963999999998</v>
      </c>
      <c r="H103" s="3">
        <f t="shared" si="6"/>
        <v>6.2989573172533439E-2</v>
      </c>
      <c r="I103" s="1">
        <f t="shared" si="7"/>
        <v>0</v>
      </c>
      <c r="J103" s="1">
        <f t="shared" si="8"/>
        <v>0</v>
      </c>
      <c r="K103" s="1">
        <f t="shared" si="9"/>
        <v>0</v>
      </c>
      <c r="L103" s="1">
        <f t="shared" si="10"/>
        <v>0</v>
      </c>
      <c r="M103" s="1">
        <f t="shared" si="11"/>
        <v>1</v>
      </c>
    </row>
    <row r="104" spans="1:13" x14ac:dyDescent="0.3">
      <c r="A104" s="1" t="s">
        <v>115</v>
      </c>
      <c r="B104" s="1">
        <v>81</v>
      </c>
      <c r="C104" s="1">
        <v>129</v>
      </c>
      <c r="D104" s="1">
        <v>78</v>
      </c>
      <c r="E104" s="1">
        <v>121.69789</v>
      </c>
      <c r="F104" s="1">
        <v>165.65638999999999</v>
      </c>
      <c r="H104" s="3">
        <f t="shared" si="6"/>
        <v>0.56022935897435899</v>
      </c>
      <c r="I104" s="1">
        <f t="shared" si="7"/>
        <v>0</v>
      </c>
      <c r="J104" s="1">
        <f t="shared" si="8"/>
        <v>0</v>
      </c>
      <c r="K104" s="1">
        <f t="shared" si="9"/>
        <v>1</v>
      </c>
      <c r="L104" s="1">
        <f t="shared" si="10"/>
        <v>0</v>
      </c>
      <c r="M104" s="1">
        <f t="shared" si="11"/>
        <v>0</v>
      </c>
    </row>
    <row r="105" spans="1:13" x14ac:dyDescent="0.3">
      <c r="A105" s="1" t="s">
        <v>116</v>
      </c>
      <c r="B105" s="1">
        <v>82</v>
      </c>
      <c r="C105" s="1">
        <v>136</v>
      </c>
      <c r="D105" s="1">
        <v>15.000002</v>
      </c>
      <c r="E105" s="1">
        <v>29.52694</v>
      </c>
      <c r="F105" s="1">
        <v>40.192363999999998</v>
      </c>
      <c r="H105" s="3">
        <f t="shared" si="6"/>
        <v>0.96846240420501273</v>
      </c>
      <c r="I105" s="1">
        <f t="shared" si="7"/>
        <v>0</v>
      </c>
      <c r="J105" s="1">
        <f t="shared" si="8"/>
        <v>0</v>
      </c>
      <c r="K105" s="1">
        <f t="shared" si="9"/>
        <v>1</v>
      </c>
      <c r="L105" s="1">
        <f t="shared" si="10"/>
        <v>0</v>
      </c>
      <c r="M105" s="1">
        <f t="shared" si="11"/>
        <v>0</v>
      </c>
    </row>
    <row r="106" spans="1:13" x14ac:dyDescent="0.3">
      <c r="A106" s="1" t="s">
        <v>117</v>
      </c>
      <c r="B106" s="1">
        <v>82</v>
      </c>
      <c r="C106" s="1">
        <v>132</v>
      </c>
      <c r="D106" s="1">
        <v>1623.6</v>
      </c>
      <c r="E106" s="1">
        <v>2749.6228000000001</v>
      </c>
      <c r="F106" s="1">
        <v>3742.8139999999999</v>
      </c>
      <c r="H106" s="3">
        <f t="shared" si="6"/>
        <v>0.69353461443705366</v>
      </c>
      <c r="I106" s="1">
        <f t="shared" si="7"/>
        <v>0</v>
      </c>
      <c r="J106" s="1">
        <f t="shared" si="8"/>
        <v>0</v>
      </c>
      <c r="K106" s="1">
        <f t="shared" si="9"/>
        <v>1</v>
      </c>
      <c r="L106" s="1">
        <f t="shared" si="10"/>
        <v>0</v>
      </c>
      <c r="M106" s="1">
        <f t="shared" si="11"/>
        <v>0</v>
      </c>
    </row>
    <row r="107" spans="1:13" x14ac:dyDescent="0.3">
      <c r="A107" s="1" t="s">
        <v>118</v>
      </c>
      <c r="B107" s="1">
        <v>83</v>
      </c>
      <c r="C107" s="1">
        <v>127</v>
      </c>
      <c r="D107" s="1">
        <v>433036.7</v>
      </c>
      <c r="E107" s="1">
        <v>26760.254000000001</v>
      </c>
      <c r="F107" s="1">
        <v>36426.324000000001</v>
      </c>
      <c r="H107" s="3">
        <f t="shared" si="6"/>
        <v>0.9382032654507112</v>
      </c>
      <c r="I107" s="1">
        <f t="shared" si="7"/>
        <v>0</v>
      </c>
      <c r="J107" s="1">
        <f t="shared" si="8"/>
        <v>0</v>
      </c>
      <c r="K107" s="1">
        <f t="shared" si="9"/>
        <v>1</v>
      </c>
      <c r="L107" s="1">
        <f t="shared" si="10"/>
        <v>0</v>
      </c>
      <c r="M107" s="1">
        <f t="shared" si="11"/>
        <v>0</v>
      </c>
    </row>
    <row r="108" spans="1:13" x14ac:dyDescent="0.3">
      <c r="A108" s="1" t="s">
        <v>119</v>
      </c>
      <c r="B108" s="1">
        <v>85</v>
      </c>
      <c r="C108" s="1">
        <v>137</v>
      </c>
      <c r="D108" s="1">
        <v>53.999996000000003</v>
      </c>
      <c r="E108" s="1">
        <v>41.797150000000002</v>
      </c>
      <c r="F108" s="1">
        <v>56.8947</v>
      </c>
      <c r="H108" s="3">
        <f t="shared" si="6"/>
        <v>0.22597864636878862</v>
      </c>
      <c r="I108" s="1">
        <f t="shared" si="7"/>
        <v>0</v>
      </c>
      <c r="J108" s="1">
        <f t="shared" si="8"/>
        <v>0</v>
      </c>
      <c r="K108" s="1">
        <f t="shared" si="9"/>
        <v>0</v>
      </c>
      <c r="L108" s="1">
        <f t="shared" si="10"/>
        <v>1</v>
      </c>
      <c r="M108" s="1">
        <f t="shared" si="11"/>
        <v>0</v>
      </c>
    </row>
    <row r="109" spans="1:13" x14ac:dyDescent="0.3">
      <c r="A109" s="1" t="s">
        <v>120</v>
      </c>
      <c r="B109" s="1">
        <v>88</v>
      </c>
      <c r="C109" s="1">
        <v>141</v>
      </c>
      <c r="D109" s="1">
        <v>240.00005999999999</v>
      </c>
      <c r="E109" s="1">
        <v>1107.0070000000001</v>
      </c>
      <c r="F109" s="1">
        <v>1506.8688999999999</v>
      </c>
      <c r="H109" s="3">
        <f t="shared" si="6"/>
        <v>3.6125280135346638</v>
      </c>
      <c r="I109" s="1">
        <f t="shared" si="7"/>
        <v>0</v>
      </c>
      <c r="J109" s="1">
        <f t="shared" si="8"/>
        <v>1</v>
      </c>
      <c r="K109" s="1">
        <f t="shared" si="9"/>
        <v>0</v>
      </c>
      <c r="L109" s="1">
        <f t="shared" si="10"/>
        <v>0</v>
      </c>
      <c r="M109" s="1">
        <f t="shared" si="11"/>
        <v>0</v>
      </c>
    </row>
    <row r="110" spans="1:13" x14ac:dyDescent="0.3">
      <c r="A110" s="1" t="s">
        <v>121</v>
      </c>
      <c r="B110" s="1">
        <v>88</v>
      </c>
      <c r="C110" s="1">
        <v>146</v>
      </c>
      <c r="D110" s="1">
        <v>29.999998000000001</v>
      </c>
      <c r="E110" s="1">
        <v>44.629714999999997</v>
      </c>
      <c r="F110" s="1">
        <v>60.750411999999997</v>
      </c>
      <c r="H110" s="3">
        <f t="shared" si="6"/>
        <v>0.48765726584381758</v>
      </c>
      <c r="I110" s="1">
        <f t="shared" si="7"/>
        <v>0</v>
      </c>
      <c r="J110" s="1">
        <f t="shared" si="8"/>
        <v>0</v>
      </c>
      <c r="K110" s="1">
        <f t="shared" si="9"/>
        <v>0</v>
      </c>
      <c r="L110" s="1">
        <f t="shared" si="10"/>
        <v>1</v>
      </c>
      <c r="M110" s="1">
        <f t="shared" si="11"/>
        <v>0</v>
      </c>
    </row>
    <row r="111" spans="1:13" x14ac:dyDescent="0.3">
      <c r="A111" s="1" t="s">
        <v>122</v>
      </c>
      <c r="B111" s="1">
        <v>89</v>
      </c>
      <c r="C111" s="1">
        <v>145</v>
      </c>
      <c r="D111" s="1">
        <v>43.999996000000003</v>
      </c>
      <c r="E111" s="1">
        <v>19.175062</v>
      </c>
      <c r="F111" s="1">
        <v>26.101286000000002</v>
      </c>
      <c r="H111" s="3">
        <f t="shared" si="6"/>
        <v>0.5642030967457361</v>
      </c>
      <c r="I111" s="1">
        <f t="shared" si="7"/>
        <v>0</v>
      </c>
      <c r="J111" s="1">
        <f t="shared" si="8"/>
        <v>0</v>
      </c>
      <c r="K111" s="1">
        <f t="shared" si="9"/>
        <v>1</v>
      </c>
      <c r="L111" s="1">
        <f t="shared" si="10"/>
        <v>0</v>
      </c>
      <c r="M111" s="1">
        <f t="shared" si="11"/>
        <v>0</v>
      </c>
    </row>
    <row r="112" spans="1:13" x14ac:dyDescent="0.3">
      <c r="A112" s="1" t="s">
        <v>123</v>
      </c>
      <c r="B112" s="1">
        <v>89</v>
      </c>
      <c r="C112" s="1">
        <v>140</v>
      </c>
      <c r="D112" s="1">
        <v>3761.9992999999999</v>
      </c>
      <c r="E112" s="1">
        <v>10496.125</v>
      </c>
      <c r="F112" s="1">
        <v>14287.431</v>
      </c>
      <c r="H112" s="3">
        <f t="shared" si="6"/>
        <v>1.7900390624740417</v>
      </c>
      <c r="I112" s="1">
        <f t="shared" si="7"/>
        <v>0</v>
      </c>
      <c r="J112" s="1">
        <f t="shared" si="8"/>
        <v>1</v>
      </c>
      <c r="K112" s="1">
        <f t="shared" si="9"/>
        <v>0</v>
      </c>
      <c r="L112" s="1">
        <f t="shared" si="10"/>
        <v>0</v>
      </c>
      <c r="M112" s="1">
        <f t="shared" si="11"/>
        <v>0</v>
      </c>
    </row>
    <row r="113" spans="1:13" x14ac:dyDescent="0.3">
      <c r="A113" s="1" t="s">
        <v>124</v>
      </c>
      <c r="B113" s="1">
        <v>89</v>
      </c>
      <c r="C113" s="1">
        <v>147</v>
      </c>
      <c r="D113" s="1">
        <v>71.999989999999997</v>
      </c>
      <c r="E113" s="1">
        <v>15.169454999999999</v>
      </c>
      <c r="F113" s="1">
        <v>20.648813000000001</v>
      </c>
      <c r="H113" s="3">
        <f t="shared" si="6"/>
        <v>0.78931309573792996</v>
      </c>
      <c r="I113" s="1">
        <f t="shared" si="7"/>
        <v>0</v>
      </c>
      <c r="J113" s="1">
        <f t="shared" si="8"/>
        <v>0</v>
      </c>
      <c r="K113" s="1">
        <f t="shared" si="9"/>
        <v>1</v>
      </c>
      <c r="L113" s="1">
        <f t="shared" si="10"/>
        <v>0</v>
      </c>
      <c r="M113" s="1">
        <f t="shared" si="11"/>
        <v>0</v>
      </c>
    </row>
    <row r="114" spans="1:13" x14ac:dyDescent="0.3">
      <c r="A114" s="1" t="s">
        <v>125</v>
      </c>
      <c r="B114" s="1">
        <v>91</v>
      </c>
      <c r="C114" s="1">
        <v>142</v>
      </c>
      <c r="D114" s="1">
        <v>2330639.2000000002</v>
      </c>
      <c r="E114" s="1">
        <v>23603.754000000001</v>
      </c>
      <c r="F114" s="1">
        <v>32129.666000000001</v>
      </c>
      <c r="H114" s="3">
        <f t="shared" si="6"/>
        <v>0.98987241182590591</v>
      </c>
      <c r="I114" s="1">
        <f t="shared" si="7"/>
        <v>0</v>
      </c>
      <c r="J114" s="1">
        <f t="shared" si="8"/>
        <v>0</v>
      </c>
      <c r="K114" s="1">
        <f t="shared" si="9"/>
        <v>1</v>
      </c>
      <c r="L114" s="1">
        <f t="shared" si="10"/>
        <v>0</v>
      </c>
      <c r="M114" s="1">
        <f t="shared" si="11"/>
        <v>0</v>
      </c>
    </row>
    <row r="115" spans="1:13" x14ac:dyDescent="0.3">
      <c r="A115" s="1" t="s">
        <v>126</v>
      </c>
      <c r="B115" s="1">
        <v>91</v>
      </c>
      <c r="C115" s="1">
        <v>145</v>
      </c>
      <c r="D115" s="1">
        <v>546</v>
      </c>
      <c r="E115" s="1">
        <v>180.78854000000001</v>
      </c>
      <c r="F115" s="1">
        <v>246.09117000000001</v>
      </c>
      <c r="H115" s="3">
        <f t="shared" si="6"/>
        <v>0.66888545787545783</v>
      </c>
      <c r="I115" s="1">
        <f t="shared" si="7"/>
        <v>0</v>
      </c>
      <c r="J115" s="1">
        <f t="shared" si="8"/>
        <v>0</v>
      </c>
      <c r="K115" s="1">
        <f t="shared" si="9"/>
        <v>1</v>
      </c>
      <c r="L115" s="1">
        <f t="shared" si="10"/>
        <v>0</v>
      </c>
      <c r="M115" s="1">
        <f t="shared" si="11"/>
        <v>0</v>
      </c>
    </row>
    <row r="116" spans="1:13" x14ac:dyDescent="0.3">
      <c r="A116" s="1" t="s">
        <v>127</v>
      </c>
      <c r="B116" s="1">
        <v>91</v>
      </c>
      <c r="C116" s="1">
        <v>148</v>
      </c>
      <c r="D116" s="1">
        <v>6479.9989999999998</v>
      </c>
      <c r="E116" s="1">
        <v>57.041840000000001</v>
      </c>
      <c r="F116" s="1">
        <v>77.645920000000004</v>
      </c>
      <c r="H116" s="3">
        <f t="shared" si="6"/>
        <v>0.99119724555513056</v>
      </c>
      <c r="I116" s="1">
        <f t="shared" si="7"/>
        <v>0</v>
      </c>
      <c r="J116" s="1">
        <f t="shared" si="8"/>
        <v>0</v>
      </c>
      <c r="K116" s="1">
        <f t="shared" si="9"/>
        <v>1</v>
      </c>
      <c r="L116" s="1">
        <f t="shared" si="10"/>
        <v>0</v>
      </c>
      <c r="M116" s="1">
        <f t="shared" si="11"/>
        <v>0</v>
      </c>
    </row>
    <row r="117" spans="1:13" x14ac:dyDescent="0.3">
      <c r="A117" s="1" t="s">
        <v>128</v>
      </c>
      <c r="B117" s="1">
        <v>92</v>
      </c>
      <c r="C117" s="1">
        <v>147</v>
      </c>
      <c r="D117" s="1">
        <v>1407.0003999999999</v>
      </c>
      <c r="E117" s="1">
        <v>9889.61</v>
      </c>
      <c r="F117" s="1">
        <v>13461.835999999999</v>
      </c>
      <c r="H117" s="3">
        <f t="shared" si="6"/>
        <v>6.0288608304588971</v>
      </c>
      <c r="I117" s="1">
        <f t="shared" si="7"/>
        <v>0</v>
      </c>
      <c r="J117" s="1">
        <f t="shared" si="8"/>
        <v>1</v>
      </c>
      <c r="K117" s="1">
        <f t="shared" si="9"/>
        <v>0</v>
      </c>
      <c r="L117" s="1">
        <f t="shared" si="10"/>
        <v>0</v>
      </c>
      <c r="M117" s="1">
        <f t="shared" si="11"/>
        <v>0</v>
      </c>
    </row>
    <row r="118" spans="1:13" x14ac:dyDescent="0.3">
      <c r="A118" s="1" t="s">
        <v>129</v>
      </c>
      <c r="B118" s="1">
        <v>96</v>
      </c>
      <c r="C118" s="1">
        <v>153</v>
      </c>
      <c r="D118" s="1">
        <v>3848.9998000000001</v>
      </c>
      <c r="E118" s="1">
        <v>49506.758000000002</v>
      </c>
      <c r="F118" s="1">
        <v>67389.09</v>
      </c>
      <c r="H118" s="3">
        <f t="shared" si="6"/>
        <v>11.862239691464781</v>
      </c>
      <c r="I118" s="1">
        <f t="shared" si="7"/>
        <v>1</v>
      </c>
      <c r="J118" s="1">
        <f t="shared" si="8"/>
        <v>0</v>
      </c>
      <c r="K118" s="1">
        <f t="shared" si="9"/>
        <v>0</v>
      </c>
      <c r="L118" s="1">
        <f t="shared" si="10"/>
        <v>0</v>
      </c>
      <c r="M118" s="1">
        <f t="shared" si="11"/>
        <v>0</v>
      </c>
    </row>
    <row r="119" spans="1:13" x14ac:dyDescent="0.3">
      <c r="A119" s="1" t="s">
        <v>130</v>
      </c>
      <c r="B119" s="1">
        <v>98</v>
      </c>
      <c r="C119" s="1">
        <v>157</v>
      </c>
      <c r="D119" s="1">
        <v>5099.9989999999998</v>
      </c>
      <c r="E119" s="1">
        <v>14916.599</v>
      </c>
      <c r="F119" s="1">
        <v>20304.623</v>
      </c>
      <c r="H119" s="3">
        <f t="shared" si="6"/>
        <v>1.9248239068282171</v>
      </c>
      <c r="I119" s="1">
        <f t="shared" si="7"/>
        <v>0</v>
      </c>
      <c r="J119" s="1">
        <f t="shared" si="8"/>
        <v>1</v>
      </c>
      <c r="K119" s="1">
        <f t="shared" si="9"/>
        <v>0</v>
      </c>
      <c r="L119" s="1">
        <f t="shared" si="10"/>
        <v>0</v>
      </c>
      <c r="M119" s="1">
        <f t="shared" si="11"/>
        <v>0</v>
      </c>
    </row>
  </sheetData>
  <phoneticPr fontId="1" type="noConversion"/>
  <conditionalFormatting sqref="A2:F119">
    <cfRule type="expression" dxfId="9" priority="1">
      <formula>$M2=1</formula>
    </cfRule>
    <cfRule type="expression" dxfId="8" priority="2">
      <formula>$L2=1</formula>
    </cfRule>
    <cfRule type="expression" dxfId="7" priority="3">
      <formula>$K2=1</formula>
    </cfRule>
    <cfRule type="expression" dxfId="6" priority="4">
      <formula>$J2=1</formula>
    </cfRule>
    <cfRule type="expression" dxfId="5" priority="5">
      <formula>$I2=1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98715-4117-45FE-87B3-B7653F31A8FA}">
  <dimension ref="A1:P119"/>
  <sheetViews>
    <sheetView tabSelected="1" workbookViewId="0">
      <selection sqref="A1:XFD1048576"/>
    </sheetView>
  </sheetViews>
  <sheetFormatPr defaultRowHeight="14" x14ac:dyDescent="0.3"/>
  <cols>
    <col min="1" max="7" width="8.6640625" style="2"/>
    <col min="8" max="8" width="8.6640625" style="5"/>
    <col min="9" max="16384" width="8.6640625" style="2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3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O1" s="1" t="s">
        <v>12</v>
      </c>
      <c r="P1" s="1">
        <f>SUM(I:M)</f>
        <v>118</v>
      </c>
    </row>
    <row r="2" spans="1:16" x14ac:dyDescent="0.3">
      <c r="A2" s="1" t="s">
        <v>131</v>
      </c>
      <c r="B2" s="1">
        <v>0</v>
      </c>
      <c r="C2" s="1">
        <v>1</v>
      </c>
      <c r="D2" s="1">
        <v>608.8999</v>
      </c>
      <c r="E2" s="1">
        <v>21.437483</v>
      </c>
      <c r="F2" s="1">
        <v>24.824885999999999</v>
      </c>
      <c r="H2" s="3">
        <f>ABS(D2-E2)/D2</f>
        <v>0.9647930916066827</v>
      </c>
      <c r="I2" s="1">
        <f>IF(H2&gt;10,1,0)</f>
        <v>0</v>
      </c>
      <c r="J2" s="1">
        <f>IF(AND(H2&lt;=10,H2&gt;1),1,0)</f>
        <v>0</v>
      </c>
      <c r="K2" s="1">
        <f>IF(AND(H2&lt;=1,H2&gt;0.5),1,0)</f>
        <v>1</v>
      </c>
      <c r="L2" s="1">
        <f>IF(AND(H2&lt;=0.5,H2&gt;0.1),1,0)</f>
        <v>0</v>
      </c>
      <c r="M2" s="1">
        <f>IF(AND(H2&lt;=0.1),1,0)</f>
        <v>0</v>
      </c>
      <c r="O2" s="1" t="s">
        <v>7</v>
      </c>
      <c r="P2" s="4">
        <f>SUM(I:I)/P1</f>
        <v>3.3898305084745763E-2</v>
      </c>
    </row>
    <row r="3" spans="1:16" x14ac:dyDescent="0.3">
      <c r="A3" s="1" t="s">
        <v>132</v>
      </c>
      <c r="B3" s="1">
        <v>4</v>
      </c>
      <c r="C3" s="1">
        <v>10</v>
      </c>
      <c r="D3" s="1">
        <v>4.650001E-3</v>
      </c>
      <c r="E3" s="1">
        <v>2.4859305000000002E-2</v>
      </c>
      <c r="F3" s="1">
        <v>2.8787402E-2</v>
      </c>
      <c r="H3" s="3">
        <f t="shared" ref="H3:H66" si="0">ABS(D3-E3)/D3</f>
        <v>4.3460859470782909</v>
      </c>
      <c r="I3" s="1">
        <f t="shared" ref="I3:I66" si="1">IF(H3&gt;10,1,0)</f>
        <v>0</v>
      </c>
      <c r="J3" s="1">
        <f t="shared" ref="J3:J66" si="2">IF(AND(H3&lt;=10,H3&gt;1),1,0)</f>
        <v>1</v>
      </c>
      <c r="K3" s="1">
        <f t="shared" ref="K3:K66" si="3">IF(AND(H3&lt;=1,H3&gt;0.5),1,0)</f>
        <v>0</v>
      </c>
      <c r="L3" s="1">
        <f t="shared" ref="L3:L66" si="4">IF(AND(H3&lt;=0.5,H3&gt;0.1),1,0)</f>
        <v>0</v>
      </c>
      <c r="M3" s="1">
        <f t="shared" ref="M3:M66" si="5">IF(AND(H3&lt;=0.1),1,0)</f>
        <v>0</v>
      </c>
      <c r="O3" s="1" t="s">
        <v>8</v>
      </c>
      <c r="P3" s="4">
        <f>SUM(J:J)/P1</f>
        <v>0.23728813559322035</v>
      </c>
    </row>
    <row r="4" spans="1:16" x14ac:dyDescent="0.3">
      <c r="A4" s="1" t="s">
        <v>133</v>
      </c>
      <c r="B4" s="1">
        <v>5</v>
      </c>
      <c r="C4" s="1">
        <v>12</v>
      </c>
      <c r="D4" s="1">
        <v>5.0700010000000002E-3</v>
      </c>
      <c r="E4" s="1">
        <v>1.4054926000000001E-2</v>
      </c>
      <c r="F4" s="1">
        <v>1.6275787999999999E-2</v>
      </c>
      <c r="H4" s="3">
        <f t="shared" si="0"/>
        <v>1.7721742066717543</v>
      </c>
      <c r="I4" s="1">
        <f t="shared" si="1"/>
        <v>0</v>
      </c>
      <c r="J4" s="1">
        <f t="shared" si="2"/>
        <v>1</v>
      </c>
      <c r="K4" s="1">
        <f t="shared" si="3"/>
        <v>0</v>
      </c>
      <c r="L4" s="1">
        <f t="shared" si="4"/>
        <v>0</v>
      </c>
      <c r="M4" s="1">
        <f t="shared" si="5"/>
        <v>0</v>
      </c>
      <c r="O4" s="1" t="s">
        <v>9</v>
      </c>
      <c r="P4" s="4">
        <f>SUM(K:K)/P1</f>
        <v>0.38135593220338981</v>
      </c>
    </row>
    <row r="5" spans="1:16" x14ac:dyDescent="0.3">
      <c r="A5" s="1" t="s">
        <v>134</v>
      </c>
      <c r="B5" s="1">
        <v>7</v>
      </c>
      <c r="C5" s="1">
        <v>9</v>
      </c>
      <c r="D5" s="1">
        <v>7.1299995999999997</v>
      </c>
      <c r="E5" s="1">
        <v>77.763779999999997</v>
      </c>
      <c r="F5" s="1">
        <v>90.051475999999994</v>
      </c>
      <c r="H5" s="3">
        <f t="shared" si="0"/>
        <v>9.9065616216864854</v>
      </c>
      <c r="I5" s="1">
        <f t="shared" si="1"/>
        <v>0</v>
      </c>
      <c r="J5" s="1">
        <f t="shared" si="2"/>
        <v>1</v>
      </c>
      <c r="K5" s="1">
        <f t="shared" si="3"/>
        <v>0</v>
      </c>
      <c r="L5" s="1">
        <f t="shared" si="4"/>
        <v>0</v>
      </c>
      <c r="M5" s="1">
        <f t="shared" si="5"/>
        <v>0</v>
      </c>
      <c r="O5" s="1" t="s">
        <v>10</v>
      </c>
      <c r="P5" s="4">
        <f>SUM(L:L)/P1</f>
        <v>0.33050847457627119</v>
      </c>
    </row>
    <row r="6" spans="1:16" x14ac:dyDescent="0.3">
      <c r="A6" s="1" t="s">
        <v>135</v>
      </c>
      <c r="B6" s="1">
        <v>8</v>
      </c>
      <c r="C6" s="1">
        <v>12</v>
      </c>
      <c r="D6" s="1">
        <v>13.510002</v>
      </c>
      <c r="E6" s="1">
        <v>7.7031049999999999</v>
      </c>
      <c r="F6" s="1">
        <v>8.9202969999999997</v>
      </c>
      <c r="H6" s="3">
        <f t="shared" si="0"/>
        <v>0.42982206812404616</v>
      </c>
      <c r="I6" s="1">
        <f t="shared" si="1"/>
        <v>0</v>
      </c>
      <c r="J6" s="1">
        <f t="shared" si="2"/>
        <v>0</v>
      </c>
      <c r="K6" s="1">
        <f t="shared" si="3"/>
        <v>0</v>
      </c>
      <c r="L6" s="1">
        <f t="shared" si="4"/>
        <v>1</v>
      </c>
      <c r="M6" s="1">
        <f t="shared" si="5"/>
        <v>0</v>
      </c>
      <c r="O6" s="1" t="s">
        <v>11</v>
      </c>
      <c r="P6" s="4">
        <f>SUM(M:M)/P1</f>
        <v>1.6949152542372881E-2</v>
      </c>
    </row>
    <row r="7" spans="1:16" x14ac:dyDescent="0.3">
      <c r="A7" s="1" t="s">
        <v>16</v>
      </c>
      <c r="B7" s="1">
        <v>9</v>
      </c>
      <c r="C7" s="1">
        <v>20</v>
      </c>
      <c r="D7" s="1">
        <v>3.2999996999999999E-3</v>
      </c>
      <c r="E7" s="1">
        <v>1.0994479E-2</v>
      </c>
      <c r="F7" s="1">
        <v>1.27317505E-2</v>
      </c>
      <c r="H7" s="3">
        <f t="shared" si="0"/>
        <v>2.3316606059085396</v>
      </c>
      <c r="I7" s="1">
        <f t="shared" si="1"/>
        <v>0</v>
      </c>
      <c r="J7" s="1">
        <f t="shared" si="2"/>
        <v>1</v>
      </c>
      <c r="K7" s="1">
        <f t="shared" si="3"/>
        <v>0</v>
      </c>
      <c r="L7" s="1">
        <f t="shared" si="4"/>
        <v>0</v>
      </c>
      <c r="M7" s="1">
        <f t="shared" si="5"/>
        <v>0</v>
      </c>
    </row>
    <row r="8" spans="1:16" x14ac:dyDescent="0.3">
      <c r="A8" s="1" t="s">
        <v>136</v>
      </c>
      <c r="B8" s="1">
        <v>10</v>
      </c>
      <c r="C8" s="1">
        <v>15</v>
      </c>
      <c r="D8" s="1">
        <v>0.60199999999999998</v>
      </c>
      <c r="E8" s="1">
        <v>1.0928306999999999</v>
      </c>
      <c r="F8" s="1">
        <v>1.2655122000000001</v>
      </c>
      <c r="H8" s="3">
        <f t="shared" si="0"/>
        <v>0.81533338870431893</v>
      </c>
      <c r="I8" s="1">
        <f t="shared" si="1"/>
        <v>0</v>
      </c>
      <c r="J8" s="1">
        <f t="shared" si="2"/>
        <v>0</v>
      </c>
      <c r="K8" s="1">
        <f t="shared" si="3"/>
        <v>1</v>
      </c>
      <c r="L8" s="1">
        <f t="shared" si="4"/>
        <v>0</v>
      </c>
      <c r="M8" s="1">
        <f t="shared" si="5"/>
        <v>0</v>
      </c>
    </row>
    <row r="9" spans="1:16" x14ac:dyDescent="0.3">
      <c r="A9" s="1" t="s">
        <v>137</v>
      </c>
      <c r="B9" s="1">
        <v>10</v>
      </c>
      <c r="C9" s="1">
        <v>18</v>
      </c>
      <c r="D9" s="1">
        <v>1.8700002E-2</v>
      </c>
      <c r="E9" s="1">
        <v>2.9773645000000001E-2</v>
      </c>
      <c r="F9" s="1">
        <v>3.4478269999999998E-2</v>
      </c>
      <c r="H9" s="3">
        <f t="shared" si="0"/>
        <v>0.59217335912584401</v>
      </c>
      <c r="I9" s="1">
        <f t="shared" si="1"/>
        <v>0</v>
      </c>
      <c r="J9" s="1">
        <f t="shared" si="2"/>
        <v>0</v>
      </c>
      <c r="K9" s="1">
        <f t="shared" si="3"/>
        <v>1</v>
      </c>
      <c r="L9" s="1">
        <f t="shared" si="4"/>
        <v>0</v>
      </c>
      <c r="M9" s="1">
        <f t="shared" si="5"/>
        <v>0</v>
      </c>
    </row>
    <row r="10" spans="1:16" x14ac:dyDescent="0.3">
      <c r="A10" s="1" t="s">
        <v>138</v>
      </c>
      <c r="B10" s="1">
        <v>13</v>
      </c>
      <c r="C10" s="1">
        <v>22</v>
      </c>
      <c r="D10" s="1">
        <v>3.8400006E-2</v>
      </c>
      <c r="E10" s="1">
        <v>0.18159217</v>
      </c>
      <c r="F10" s="1">
        <v>0.21028611</v>
      </c>
      <c r="H10" s="3">
        <f t="shared" si="0"/>
        <v>3.728962021516351</v>
      </c>
      <c r="I10" s="1">
        <f t="shared" si="1"/>
        <v>0</v>
      </c>
      <c r="J10" s="1">
        <f t="shared" si="2"/>
        <v>1</v>
      </c>
      <c r="K10" s="1">
        <f t="shared" si="3"/>
        <v>0</v>
      </c>
      <c r="L10" s="1">
        <f t="shared" si="4"/>
        <v>0</v>
      </c>
      <c r="M10" s="1">
        <f t="shared" si="5"/>
        <v>0</v>
      </c>
    </row>
    <row r="11" spans="1:16" x14ac:dyDescent="0.3">
      <c r="A11" s="1" t="s">
        <v>139</v>
      </c>
      <c r="B11" s="1">
        <v>13</v>
      </c>
      <c r="C11" s="1">
        <v>25</v>
      </c>
      <c r="D11" s="1">
        <v>8.9999989999999998E-3</v>
      </c>
      <c r="E11" s="1">
        <v>2.5947741999999999E-2</v>
      </c>
      <c r="F11" s="1">
        <v>3.0047825E-2</v>
      </c>
      <c r="H11" s="3">
        <f t="shared" si="0"/>
        <v>1.8830827647869741</v>
      </c>
      <c r="I11" s="1">
        <f t="shared" si="1"/>
        <v>0</v>
      </c>
      <c r="J11" s="1">
        <f t="shared" si="2"/>
        <v>1</v>
      </c>
      <c r="K11" s="1">
        <f t="shared" si="3"/>
        <v>0</v>
      </c>
      <c r="L11" s="1">
        <f t="shared" si="4"/>
        <v>0</v>
      </c>
      <c r="M11" s="1">
        <f t="shared" si="5"/>
        <v>0</v>
      </c>
    </row>
    <row r="12" spans="1:16" x14ac:dyDescent="0.3">
      <c r="A12" s="1" t="s">
        <v>140</v>
      </c>
      <c r="B12" s="1">
        <v>13</v>
      </c>
      <c r="C12" s="1">
        <v>15</v>
      </c>
      <c r="D12" s="1">
        <v>134.89803000000001</v>
      </c>
      <c r="E12" s="1">
        <v>444.67570000000001</v>
      </c>
      <c r="F12" s="1">
        <v>514.94024999999999</v>
      </c>
      <c r="H12" s="3">
        <f t="shared" si="0"/>
        <v>2.2963839427454946</v>
      </c>
      <c r="I12" s="1">
        <f t="shared" si="1"/>
        <v>0</v>
      </c>
      <c r="J12" s="1">
        <f t="shared" si="2"/>
        <v>1</v>
      </c>
      <c r="K12" s="1">
        <f t="shared" si="3"/>
        <v>0</v>
      </c>
      <c r="L12" s="1">
        <f t="shared" si="4"/>
        <v>0</v>
      </c>
      <c r="M12" s="1">
        <f t="shared" si="5"/>
        <v>0</v>
      </c>
    </row>
    <row r="13" spans="1:16" x14ac:dyDescent="0.3">
      <c r="A13" s="1" t="s">
        <v>19</v>
      </c>
      <c r="B13" s="1">
        <v>14</v>
      </c>
      <c r="C13" s="1">
        <v>17</v>
      </c>
      <c r="D13" s="1">
        <v>9434.3989999999994</v>
      </c>
      <c r="E13" s="1">
        <v>5478.2939999999999</v>
      </c>
      <c r="F13" s="1">
        <v>6343.9359999999997</v>
      </c>
      <c r="H13" s="3">
        <f t="shared" si="0"/>
        <v>0.41932771764263943</v>
      </c>
      <c r="I13" s="1">
        <f t="shared" si="1"/>
        <v>0</v>
      </c>
      <c r="J13" s="1">
        <f t="shared" si="2"/>
        <v>0</v>
      </c>
      <c r="K13" s="1">
        <f t="shared" si="3"/>
        <v>0</v>
      </c>
      <c r="L13" s="1">
        <f t="shared" si="4"/>
        <v>1</v>
      </c>
      <c r="M13" s="1">
        <f t="shared" si="5"/>
        <v>0</v>
      </c>
    </row>
    <row r="14" spans="1:16" x14ac:dyDescent="0.3">
      <c r="A14" s="1" t="s">
        <v>141</v>
      </c>
      <c r="B14" s="1">
        <v>15</v>
      </c>
      <c r="C14" s="1">
        <v>21</v>
      </c>
      <c r="D14" s="1">
        <v>5.6</v>
      </c>
      <c r="E14" s="1">
        <v>93.244370000000004</v>
      </c>
      <c r="F14" s="1">
        <v>107.9782</v>
      </c>
      <c r="H14" s="3">
        <f t="shared" si="0"/>
        <v>15.65078035714286</v>
      </c>
      <c r="I14" s="1">
        <f t="shared" si="1"/>
        <v>1</v>
      </c>
      <c r="J14" s="1">
        <f t="shared" si="2"/>
        <v>0</v>
      </c>
      <c r="K14" s="1">
        <f t="shared" si="3"/>
        <v>0</v>
      </c>
      <c r="L14" s="1">
        <f t="shared" si="4"/>
        <v>0</v>
      </c>
      <c r="M14" s="1">
        <f t="shared" si="5"/>
        <v>0</v>
      </c>
    </row>
    <row r="15" spans="1:16" x14ac:dyDescent="0.3">
      <c r="A15" s="1" t="s">
        <v>142</v>
      </c>
      <c r="B15" s="1">
        <v>16</v>
      </c>
      <c r="C15" s="1">
        <v>25</v>
      </c>
      <c r="D15" s="1">
        <v>2.6</v>
      </c>
      <c r="E15" s="1">
        <v>0.8879589</v>
      </c>
      <c r="F15" s="1">
        <v>1.028268</v>
      </c>
      <c r="H15" s="3">
        <f t="shared" si="0"/>
        <v>0.65847734615384612</v>
      </c>
      <c r="I15" s="1">
        <f t="shared" si="1"/>
        <v>0</v>
      </c>
      <c r="J15" s="1">
        <f t="shared" si="2"/>
        <v>0</v>
      </c>
      <c r="K15" s="1">
        <f t="shared" si="3"/>
        <v>1</v>
      </c>
      <c r="L15" s="1">
        <f t="shared" si="4"/>
        <v>0</v>
      </c>
      <c r="M15" s="1">
        <f t="shared" si="5"/>
        <v>0</v>
      </c>
    </row>
    <row r="16" spans="1:16" x14ac:dyDescent="0.3">
      <c r="A16" s="1" t="s">
        <v>143</v>
      </c>
      <c r="B16" s="1">
        <v>16</v>
      </c>
      <c r="C16" s="1">
        <v>29</v>
      </c>
      <c r="D16" s="1">
        <v>6.8000000000000005E-2</v>
      </c>
      <c r="E16" s="1">
        <v>6.1075392999999999E-2</v>
      </c>
      <c r="F16" s="1">
        <v>7.0726103999999998E-2</v>
      </c>
      <c r="H16" s="3">
        <f t="shared" si="0"/>
        <v>0.10183245588235303</v>
      </c>
      <c r="I16" s="1">
        <f t="shared" si="1"/>
        <v>0</v>
      </c>
      <c r="J16" s="1">
        <f t="shared" si="2"/>
        <v>0</v>
      </c>
      <c r="K16" s="1">
        <f t="shared" si="3"/>
        <v>0</v>
      </c>
      <c r="L16" s="1">
        <f t="shared" si="4"/>
        <v>1</v>
      </c>
      <c r="M16" s="1">
        <f t="shared" si="5"/>
        <v>0</v>
      </c>
    </row>
    <row r="17" spans="1:13" x14ac:dyDescent="0.3">
      <c r="A17" s="1" t="s">
        <v>144</v>
      </c>
      <c r="B17" s="1">
        <v>17</v>
      </c>
      <c r="C17" s="1">
        <v>24</v>
      </c>
      <c r="D17" s="1">
        <v>38.400005</v>
      </c>
      <c r="E17" s="1">
        <v>18.896619999999999</v>
      </c>
      <c r="F17" s="1">
        <v>21.882534</v>
      </c>
      <c r="H17" s="3">
        <f t="shared" si="0"/>
        <v>0.5079005849087781</v>
      </c>
      <c r="I17" s="1">
        <f t="shared" si="1"/>
        <v>0</v>
      </c>
      <c r="J17" s="1">
        <f t="shared" si="2"/>
        <v>0</v>
      </c>
      <c r="K17" s="1">
        <f t="shared" si="3"/>
        <v>1</v>
      </c>
      <c r="L17" s="1">
        <f t="shared" si="4"/>
        <v>0</v>
      </c>
      <c r="M17" s="1">
        <f t="shared" si="5"/>
        <v>0</v>
      </c>
    </row>
    <row r="18" spans="1:13" x14ac:dyDescent="0.3">
      <c r="A18" s="1" t="s">
        <v>145</v>
      </c>
      <c r="B18" s="1">
        <v>18</v>
      </c>
      <c r="C18" s="1">
        <v>31</v>
      </c>
      <c r="D18" s="1">
        <v>0.23599998999999999</v>
      </c>
      <c r="E18" s="1">
        <v>5.4540935999999998E-2</v>
      </c>
      <c r="F18" s="1">
        <v>6.3159116000000001E-2</v>
      </c>
      <c r="H18" s="3">
        <f t="shared" si="0"/>
        <v>0.76889432919043776</v>
      </c>
      <c r="I18" s="1">
        <f t="shared" si="1"/>
        <v>0</v>
      </c>
      <c r="J18" s="1">
        <f t="shared" si="2"/>
        <v>0</v>
      </c>
      <c r="K18" s="1">
        <f t="shared" si="3"/>
        <v>1</v>
      </c>
      <c r="L18" s="1">
        <f t="shared" si="4"/>
        <v>0</v>
      </c>
      <c r="M18" s="1">
        <f t="shared" si="5"/>
        <v>0</v>
      </c>
    </row>
    <row r="19" spans="1:13" x14ac:dyDescent="0.3">
      <c r="A19" s="1" t="s">
        <v>146</v>
      </c>
      <c r="B19" s="1">
        <v>18</v>
      </c>
      <c r="C19" s="1">
        <v>27</v>
      </c>
      <c r="D19" s="1">
        <v>21.479997999999998</v>
      </c>
      <c r="E19" s="1">
        <v>23.859376999999999</v>
      </c>
      <c r="F19" s="1">
        <v>27.629470000000001</v>
      </c>
      <c r="H19" s="3">
        <f t="shared" si="0"/>
        <v>0.11077184457838406</v>
      </c>
      <c r="I19" s="1">
        <f t="shared" si="1"/>
        <v>0</v>
      </c>
      <c r="J19" s="1">
        <f t="shared" si="2"/>
        <v>0</v>
      </c>
      <c r="K19" s="1">
        <f t="shared" si="3"/>
        <v>0</v>
      </c>
      <c r="L19" s="1">
        <f t="shared" si="4"/>
        <v>1</v>
      </c>
      <c r="M19" s="1">
        <f t="shared" si="5"/>
        <v>0</v>
      </c>
    </row>
    <row r="20" spans="1:13" x14ac:dyDescent="0.3">
      <c r="A20" s="1" t="s">
        <v>147</v>
      </c>
      <c r="B20" s="1">
        <v>18</v>
      </c>
      <c r="C20" s="1">
        <v>28</v>
      </c>
      <c r="D20" s="1">
        <v>8.4</v>
      </c>
      <c r="E20" s="1">
        <v>5.3998013</v>
      </c>
      <c r="F20" s="1">
        <v>6.2530409999999996</v>
      </c>
      <c r="H20" s="3">
        <f t="shared" si="0"/>
        <v>0.35716651190476195</v>
      </c>
      <c r="I20" s="1">
        <f t="shared" si="1"/>
        <v>0</v>
      </c>
      <c r="J20" s="1">
        <f t="shared" si="2"/>
        <v>0</v>
      </c>
      <c r="K20" s="1">
        <f t="shared" si="3"/>
        <v>0</v>
      </c>
      <c r="L20" s="1">
        <f t="shared" si="4"/>
        <v>1</v>
      </c>
      <c r="M20" s="1">
        <f t="shared" si="5"/>
        <v>0</v>
      </c>
    </row>
    <row r="21" spans="1:13" x14ac:dyDescent="0.3">
      <c r="A21" s="1" t="s">
        <v>23</v>
      </c>
      <c r="B21" s="1">
        <v>19</v>
      </c>
      <c r="C21" s="1">
        <v>29</v>
      </c>
      <c r="D21" s="1">
        <v>6.8</v>
      </c>
      <c r="E21" s="1">
        <v>0.99417882999999996</v>
      </c>
      <c r="F21" s="1">
        <v>1.1512720000000001</v>
      </c>
      <c r="H21" s="3">
        <f t="shared" si="0"/>
        <v>0.85379723088235293</v>
      </c>
      <c r="I21" s="1">
        <f t="shared" si="1"/>
        <v>0</v>
      </c>
      <c r="J21" s="1">
        <f t="shared" si="2"/>
        <v>0</v>
      </c>
      <c r="K21" s="1">
        <f t="shared" si="3"/>
        <v>1</v>
      </c>
      <c r="L21" s="1">
        <f t="shared" si="4"/>
        <v>0</v>
      </c>
      <c r="M21" s="1">
        <f t="shared" si="5"/>
        <v>0</v>
      </c>
    </row>
    <row r="22" spans="1:13" x14ac:dyDescent="0.3">
      <c r="A22" s="1" t="s">
        <v>148</v>
      </c>
      <c r="B22" s="1">
        <v>19</v>
      </c>
      <c r="C22" s="1">
        <v>28</v>
      </c>
      <c r="D22" s="1">
        <v>17.379996999999999</v>
      </c>
      <c r="E22" s="1">
        <v>30.318573000000001</v>
      </c>
      <c r="F22" s="1">
        <v>35.109305999999997</v>
      </c>
      <c r="H22" s="3">
        <f t="shared" si="0"/>
        <v>0.7444521423104965</v>
      </c>
      <c r="I22" s="1">
        <f t="shared" si="1"/>
        <v>0</v>
      </c>
      <c r="J22" s="1">
        <f t="shared" si="2"/>
        <v>0</v>
      </c>
      <c r="K22" s="1">
        <f t="shared" si="3"/>
        <v>1</v>
      </c>
      <c r="L22" s="1">
        <f t="shared" si="4"/>
        <v>0</v>
      </c>
      <c r="M22" s="1">
        <f t="shared" si="5"/>
        <v>0</v>
      </c>
    </row>
    <row r="23" spans="1:13" x14ac:dyDescent="0.3">
      <c r="A23" s="1" t="s">
        <v>149</v>
      </c>
      <c r="B23" s="1">
        <v>20</v>
      </c>
      <c r="C23" s="1">
        <v>35</v>
      </c>
      <c r="D23" s="1">
        <v>2.2000002000000001E-2</v>
      </c>
      <c r="E23" s="1">
        <v>4.2031579999999999E-2</v>
      </c>
      <c r="F23" s="1">
        <v>4.867312E-2</v>
      </c>
      <c r="H23" s="3">
        <f t="shared" si="0"/>
        <v>0.91052618995216439</v>
      </c>
      <c r="I23" s="1">
        <f t="shared" si="1"/>
        <v>0</v>
      </c>
      <c r="J23" s="1">
        <f t="shared" si="2"/>
        <v>0</v>
      </c>
      <c r="K23" s="1">
        <f t="shared" si="3"/>
        <v>1</v>
      </c>
      <c r="L23" s="1">
        <f t="shared" si="4"/>
        <v>0</v>
      </c>
      <c r="M23" s="1">
        <f t="shared" si="5"/>
        <v>0</v>
      </c>
    </row>
    <row r="24" spans="1:13" x14ac:dyDescent="0.3">
      <c r="A24" s="1" t="s">
        <v>150</v>
      </c>
      <c r="B24" s="1">
        <v>20</v>
      </c>
      <c r="C24" s="1">
        <v>34</v>
      </c>
      <c r="D24" s="1">
        <v>8.9999990000000002E-2</v>
      </c>
      <c r="E24" s="1">
        <v>7.0645109999999997E-2</v>
      </c>
      <c r="F24" s="1">
        <v>8.1807959999999999E-2</v>
      </c>
      <c r="H24" s="3">
        <f t="shared" si="0"/>
        <v>0.2150542461171385</v>
      </c>
      <c r="I24" s="1">
        <f t="shared" si="1"/>
        <v>0</v>
      </c>
      <c r="J24" s="1">
        <f t="shared" si="2"/>
        <v>0</v>
      </c>
      <c r="K24" s="1">
        <f t="shared" si="3"/>
        <v>0</v>
      </c>
      <c r="L24" s="1">
        <f t="shared" si="4"/>
        <v>1</v>
      </c>
      <c r="M24" s="1">
        <f t="shared" si="5"/>
        <v>0</v>
      </c>
    </row>
    <row r="25" spans="1:13" x14ac:dyDescent="0.3">
      <c r="A25" s="1" t="s">
        <v>24</v>
      </c>
      <c r="B25" s="1">
        <v>20</v>
      </c>
      <c r="C25" s="1">
        <v>33</v>
      </c>
      <c r="D25" s="1">
        <v>0.46100003000000001</v>
      </c>
      <c r="E25" s="1">
        <v>0.12498229</v>
      </c>
      <c r="F25" s="1">
        <v>0.14473113000000001</v>
      </c>
      <c r="H25" s="3">
        <f t="shared" si="0"/>
        <v>0.72888875950832366</v>
      </c>
      <c r="I25" s="1">
        <f t="shared" si="1"/>
        <v>0</v>
      </c>
      <c r="J25" s="1">
        <f t="shared" si="2"/>
        <v>0</v>
      </c>
      <c r="K25" s="1">
        <f t="shared" si="3"/>
        <v>1</v>
      </c>
      <c r="L25" s="1">
        <f t="shared" si="4"/>
        <v>0</v>
      </c>
      <c r="M25" s="1">
        <f t="shared" si="5"/>
        <v>0</v>
      </c>
    </row>
    <row r="26" spans="1:13" x14ac:dyDescent="0.3">
      <c r="A26" s="1" t="s">
        <v>151</v>
      </c>
      <c r="B26" s="1">
        <v>21</v>
      </c>
      <c r="C26" s="1">
        <v>36</v>
      </c>
      <c r="D26" s="1">
        <v>2.0000001E-2</v>
      </c>
      <c r="E26" s="1">
        <v>3.1864761999999998E-2</v>
      </c>
      <c r="F26" s="1">
        <v>3.6899812999999997E-2</v>
      </c>
      <c r="H26" s="3">
        <f t="shared" si="0"/>
        <v>0.59323802033809891</v>
      </c>
      <c r="I26" s="1">
        <f t="shared" si="1"/>
        <v>0</v>
      </c>
      <c r="J26" s="1">
        <f t="shared" si="2"/>
        <v>0</v>
      </c>
      <c r="K26" s="1">
        <f t="shared" si="3"/>
        <v>1</v>
      </c>
      <c r="L26" s="1">
        <f t="shared" si="4"/>
        <v>0</v>
      </c>
      <c r="M26" s="1">
        <f t="shared" si="5"/>
        <v>0</v>
      </c>
    </row>
    <row r="27" spans="1:13" x14ac:dyDescent="0.3">
      <c r="A27" s="1" t="s">
        <v>27</v>
      </c>
      <c r="B27" s="1">
        <v>22</v>
      </c>
      <c r="C27" s="1">
        <v>36</v>
      </c>
      <c r="D27" s="1">
        <v>5.4999996000000002E-2</v>
      </c>
      <c r="E27" s="1">
        <v>7.050381E-2</v>
      </c>
      <c r="F27" s="1">
        <v>8.1644333999999999E-2</v>
      </c>
      <c r="H27" s="3">
        <f t="shared" si="0"/>
        <v>0.28188754777363978</v>
      </c>
      <c r="I27" s="1">
        <f t="shared" si="1"/>
        <v>0</v>
      </c>
      <c r="J27" s="1">
        <f t="shared" si="2"/>
        <v>0</v>
      </c>
      <c r="K27" s="1">
        <f t="shared" si="3"/>
        <v>0</v>
      </c>
      <c r="L27" s="1">
        <f t="shared" si="4"/>
        <v>1</v>
      </c>
      <c r="M27" s="1">
        <f t="shared" si="5"/>
        <v>0</v>
      </c>
    </row>
    <row r="28" spans="1:13" x14ac:dyDescent="0.3">
      <c r="A28" s="1" t="s">
        <v>152</v>
      </c>
      <c r="B28" s="1">
        <v>22</v>
      </c>
      <c r="C28" s="1">
        <v>33</v>
      </c>
      <c r="D28" s="1">
        <v>1.3</v>
      </c>
      <c r="E28" s="1">
        <v>0.49064580000000002</v>
      </c>
      <c r="F28" s="1">
        <v>0.56817424000000005</v>
      </c>
      <c r="H28" s="3">
        <f t="shared" si="0"/>
        <v>0.62258015384615384</v>
      </c>
      <c r="I28" s="1">
        <f t="shared" si="1"/>
        <v>0</v>
      </c>
      <c r="J28" s="1">
        <f t="shared" si="2"/>
        <v>0</v>
      </c>
      <c r="K28" s="1">
        <f t="shared" si="3"/>
        <v>1</v>
      </c>
      <c r="L28" s="1">
        <f t="shared" si="4"/>
        <v>0</v>
      </c>
      <c r="M28" s="1">
        <f t="shared" si="5"/>
        <v>0</v>
      </c>
    </row>
    <row r="29" spans="1:13" x14ac:dyDescent="0.3">
      <c r="A29" s="1" t="s">
        <v>153</v>
      </c>
      <c r="B29" s="1">
        <v>22</v>
      </c>
      <c r="C29" s="1">
        <v>29</v>
      </c>
      <c r="D29" s="1">
        <v>345.36007999999998</v>
      </c>
      <c r="E29" s="1">
        <v>2351.9481999999998</v>
      </c>
      <c r="F29" s="1">
        <v>2723.587</v>
      </c>
      <c r="H29" s="3">
        <f t="shared" si="0"/>
        <v>5.8101333541502536</v>
      </c>
      <c r="I29" s="1">
        <f t="shared" si="1"/>
        <v>0</v>
      </c>
      <c r="J29" s="1">
        <f t="shared" si="2"/>
        <v>1</v>
      </c>
      <c r="K29" s="1">
        <f t="shared" si="3"/>
        <v>0</v>
      </c>
      <c r="L29" s="1">
        <f t="shared" si="4"/>
        <v>0</v>
      </c>
      <c r="M29" s="1">
        <f t="shared" si="5"/>
        <v>0</v>
      </c>
    </row>
    <row r="30" spans="1:13" x14ac:dyDescent="0.3">
      <c r="A30" s="1" t="s">
        <v>154</v>
      </c>
      <c r="B30" s="1">
        <v>23</v>
      </c>
      <c r="C30" s="1">
        <v>33</v>
      </c>
      <c r="D30" s="1">
        <v>0.21800000999999999</v>
      </c>
      <c r="E30" s="1">
        <v>0.37366243999999998</v>
      </c>
      <c r="F30" s="1">
        <v>0.43270599999999998</v>
      </c>
      <c r="H30" s="3">
        <f t="shared" si="0"/>
        <v>0.71404781128221051</v>
      </c>
      <c r="I30" s="1">
        <f t="shared" si="1"/>
        <v>0</v>
      </c>
      <c r="J30" s="1">
        <f t="shared" si="2"/>
        <v>0</v>
      </c>
      <c r="K30" s="1">
        <f t="shared" si="3"/>
        <v>1</v>
      </c>
      <c r="L30" s="1">
        <f t="shared" si="4"/>
        <v>0</v>
      </c>
      <c r="M30" s="1">
        <f t="shared" si="5"/>
        <v>0</v>
      </c>
    </row>
    <row r="31" spans="1:13" x14ac:dyDescent="0.3">
      <c r="A31" s="1" t="s">
        <v>155</v>
      </c>
      <c r="B31" s="1">
        <v>25</v>
      </c>
      <c r="C31" s="1">
        <v>43</v>
      </c>
      <c r="D31" s="1">
        <v>3.3899996000000002E-2</v>
      </c>
      <c r="E31" s="1">
        <v>4.9441613000000002E-2</v>
      </c>
      <c r="F31" s="1">
        <v>5.7254035000000002E-2</v>
      </c>
      <c r="H31" s="3">
        <f t="shared" si="0"/>
        <v>0.45845483285602745</v>
      </c>
      <c r="I31" s="1">
        <f t="shared" si="1"/>
        <v>0</v>
      </c>
      <c r="J31" s="1">
        <f t="shared" si="2"/>
        <v>0</v>
      </c>
      <c r="K31" s="1">
        <f t="shared" si="3"/>
        <v>0</v>
      </c>
      <c r="L31" s="1">
        <f t="shared" si="4"/>
        <v>1</v>
      </c>
      <c r="M31" s="1">
        <f t="shared" si="5"/>
        <v>0</v>
      </c>
    </row>
    <row r="32" spans="1:13" x14ac:dyDescent="0.3">
      <c r="A32" s="1" t="s">
        <v>156</v>
      </c>
      <c r="B32" s="1">
        <v>25</v>
      </c>
      <c r="C32" s="1">
        <v>45</v>
      </c>
      <c r="D32" s="1">
        <v>1.9899997999999999E-2</v>
      </c>
      <c r="E32" s="1">
        <v>3.3133021999999998E-2</v>
      </c>
      <c r="F32" s="1">
        <v>3.8368474999999999E-2</v>
      </c>
      <c r="H32" s="3">
        <f t="shared" si="0"/>
        <v>0.66497614723378362</v>
      </c>
      <c r="I32" s="1">
        <f t="shared" si="1"/>
        <v>0</v>
      </c>
      <c r="J32" s="1">
        <f t="shared" si="2"/>
        <v>0</v>
      </c>
      <c r="K32" s="1">
        <f t="shared" si="3"/>
        <v>1</v>
      </c>
      <c r="L32" s="1">
        <f t="shared" si="4"/>
        <v>0</v>
      </c>
      <c r="M32" s="1">
        <f t="shared" si="5"/>
        <v>0</v>
      </c>
    </row>
    <row r="33" spans="1:13" x14ac:dyDescent="0.3">
      <c r="A33" s="1" t="s">
        <v>157</v>
      </c>
      <c r="B33" s="1">
        <v>25</v>
      </c>
      <c r="C33" s="1">
        <v>38</v>
      </c>
      <c r="D33" s="1">
        <v>0.27700000000000002</v>
      </c>
      <c r="E33" s="1">
        <v>1.3477844999999999</v>
      </c>
      <c r="F33" s="1">
        <v>1.5607522</v>
      </c>
      <c r="H33" s="3">
        <f t="shared" si="0"/>
        <v>3.8656480144404322</v>
      </c>
      <c r="I33" s="1">
        <f t="shared" si="1"/>
        <v>0</v>
      </c>
      <c r="J33" s="1">
        <f t="shared" si="2"/>
        <v>1</v>
      </c>
      <c r="K33" s="1">
        <f t="shared" si="3"/>
        <v>0</v>
      </c>
      <c r="L33" s="1">
        <f t="shared" si="4"/>
        <v>0</v>
      </c>
      <c r="M33" s="1">
        <f t="shared" si="5"/>
        <v>0</v>
      </c>
    </row>
    <row r="34" spans="1:13" x14ac:dyDescent="0.3">
      <c r="A34" s="1" t="s">
        <v>158</v>
      </c>
      <c r="B34" s="1">
        <v>26</v>
      </c>
      <c r="C34" s="1">
        <v>47</v>
      </c>
      <c r="D34" s="1">
        <v>1.2900000999999999E-2</v>
      </c>
      <c r="E34" s="1">
        <v>2.5859533000000001E-2</v>
      </c>
      <c r="F34" s="1">
        <v>2.9945677E-2</v>
      </c>
      <c r="H34" s="3">
        <f t="shared" si="0"/>
        <v>1.0046148058438136</v>
      </c>
      <c r="I34" s="1">
        <f t="shared" si="1"/>
        <v>0</v>
      </c>
      <c r="J34" s="1">
        <f t="shared" si="2"/>
        <v>1</v>
      </c>
      <c r="K34" s="1">
        <f t="shared" si="3"/>
        <v>0</v>
      </c>
      <c r="L34" s="1">
        <f t="shared" si="4"/>
        <v>0</v>
      </c>
      <c r="M34" s="1">
        <f t="shared" si="5"/>
        <v>0</v>
      </c>
    </row>
    <row r="35" spans="1:13" x14ac:dyDescent="0.3">
      <c r="A35" s="1" t="s">
        <v>159</v>
      </c>
      <c r="B35" s="1">
        <v>27</v>
      </c>
      <c r="C35" s="1">
        <v>44</v>
      </c>
      <c r="D35" s="1">
        <v>8.0000005999999999E-2</v>
      </c>
      <c r="E35" s="1">
        <v>0.33151745999999999</v>
      </c>
      <c r="F35" s="1">
        <v>0.38390157000000003</v>
      </c>
      <c r="H35" s="3">
        <f t="shared" si="0"/>
        <v>3.1439679392024042</v>
      </c>
      <c r="I35" s="1">
        <f t="shared" si="1"/>
        <v>0</v>
      </c>
      <c r="J35" s="1">
        <f t="shared" si="2"/>
        <v>1</v>
      </c>
      <c r="K35" s="1">
        <f t="shared" si="3"/>
        <v>0</v>
      </c>
      <c r="L35" s="1">
        <f t="shared" si="4"/>
        <v>0</v>
      </c>
      <c r="M35" s="1">
        <f t="shared" si="5"/>
        <v>0</v>
      </c>
    </row>
    <row r="36" spans="1:13" x14ac:dyDescent="0.3">
      <c r="A36" s="1" t="s">
        <v>160</v>
      </c>
      <c r="B36" s="1">
        <v>28</v>
      </c>
      <c r="C36" s="1">
        <v>39</v>
      </c>
      <c r="D36" s="1">
        <v>20.999998000000001</v>
      </c>
      <c r="E36" s="1">
        <v>26.396782000000002</v>
      </c>
      <c r="F36" s="1">
        <v>30.567820000000001</v>
      </c>
      <c r="H36" s="3">
        <f t="shared" si="0"/>
        <v>0.25698973876092751</v>
      </c>
      <c r="I36" s="1">
        <f t="shared" si="1"/>
        <v>0</v>
      </c>
      <c r="J36" s="1">
        <f t="shared" si="2"/>
        <v>0</v>
      </c>
      <c r="K36" s="1">
        <f t="shared" si="3"/>
        <v>0</v>
      </c>
      <c r="L36" s="1">
        <f t="shared" si="4"/>
        <v>1</v>
      </c>
      <c r="M36" s="1">
        <f t="shared" si="5"/>
        <v>0</v>
      </c>
    </row>
    <row r="37" spans="1:13" x14ac:dyDescent="0.3">
      <c r="A37" s="1" t="s">
        <v>161</v>
      </c>
      <c r="B37" s="1">
        <v>31</v>
      </c>
      <c r="C37" s="1">
        <v>45</v>
      </c>
      <c r="D37" s="1">
        <v>31.000004000000001</v>
      </c>
      <c r="E37" s="1">
        <v>14.489141999999999</v>
      </c>
      <c r="F37" s="1">
        <v>16.778616</v>
      </c>
      <c r="H37" s="3">
        <f t="shared" si="0"/>
        <v>0.53260838288924106</v>
      </c>
      <c r="I37" s="1">
        <f t="shared" si="1"/>
        <v>0</v>
      </c>
      <c r="J37" s="1">
        <f t="shared" si="2"/>
        <v>0</v>
      </c>
      <c r="K37" s="1">
        <f t="shared" si="3"/>
        <v>1</v>
      </c>
      <c r="L37" s="1">
        <f t="shared" si="4"/>
        <v>0</v>
      </c>
      <c r="M37" s="1">
        <f t="shared" si="5"/>
        <v>0</v>
      </c>
    </row>
    <row r="38" spans="1:13" x14ac:dyDescent="0.3">
      <c r="A38" s="1" t="s">
        <v>162</v>
      </c>
      <c r="B38" s="1">
        <v>31</v>
      </c>
      <c r="C38" s="1">
        <v>41</v>
      </c>
      <c r="D38" s="1">
        <v>50490.023000000001</v>
      </c>
      <c r="E38" s="1">
        <v>7793.7554</v>
      </c>
      <c r="F38" s="1">
        <v>9025.2705000000005</v>
      </c>
      <c r="H38" s="3">
        <f t="shared" si="0"/>
        <v>0.84563771341518301</v>
      </c>
      <c r="I38" s="1">
        <f t="shared" si="1"/>
        <v>0</v>
      </c>
      <c r="J38" s="1">
        <f t="shared" si="2"/>
        <v>0</v>
      </c>
      <c r="K38" s="1">
        <f t="shared" si="3"/>
        <v>1</v>
      </c>
      <c r="L38" s="1">
        <f t="shared" si="4"/>
        <v>0</v>
      </c>
      <c r="M38" s="1">
        <f t="shared" si="5"/>
        <v>0</v>
      </c>
    </row>
    <row r="39" spans="1:13" x14ac:dyDescent="0.3">
      <c r="A39" s="1" t="s">
        <v>163</v>
      </c>
      <c r="B39" s="1">
        <v>32</v>
      </c>
      <c r="C39" s="1">
        <v>47</v>
      </c>
      <c r="D39" s="1">
        <v>18.970001</v>
      </c>
      <c r="E39" s="1">
        <v>13.165998</v>
      </c>
      <c r="F39" s="1">
        <v>15.246399</v>
      </c>
      <c r="H39" s="3">
        <f t="shared" si="0"/>
        <v>0.30595691586942986</v>
      </c>
      <c r="I39" s="1">
        <f t="shared" si="1"/>
        <v>0</v>
      </c>
      <c r="J39" s="1">
        <f t="shared" si="2"/>
        <v>0</v>
      </c>
      <c r="K39" s="1">
        <f t="shared" si="3"/>
        <v>0</v>
      </c>
      <c r="L39" s="1">
        <f t="shared" si="4"/>
        <v>1</v>
      </c>
      <c r="M39" s="1">
        <f t="shared" si="5"/>
        <v>0</v>
      </c>
    </row>
    <row r="40" spans="1:13" x14ac:dyDescent="0.3">
      <c r="A40" s="1" t="s">
        <v>164</v>
      </c>
      <c r="B40" s="1">
        <v>33</v>
      </c>
      <c r="C40" s="1">
        <v>44</v>
      </c>
      <c r="D40" s="1">
        <v>139644.03</v>
      </c>
      <c r="E40" s="1">
        <v>80476.789999999994</v>
      </c>
      <c r="F40" s="1">
        <v>93193.18</v>
      </c>
      <c r="H40" s="3">
        <f t="shared" si="0"/>
        <v>0.42370046180993204</v>
      </c>
      <c r="I40" s="1">
        <f t="shared" si="1"/>
        <v>0</v>
      </c>
      <c r="J40" s="1">
        <f t="shared" si="2"/>
        <v>0</v>
      </c>
      <c r="K40" s="1">
        <f t="shared" si="3"/>
        <v>0</v>
      </c>
      <c r="L40" s="1">
        <f t="shared" si="4"/>
        <v>1</v>
      </c>
      <c r="M40" s="1">
        <f t="shared" si="5"/>
        <v>0</v>
      </c>
    </row>
    <row r="41" spans="1:13" x14ac:dyDescent="0.3">
      <c r="A41" s="1" t="s">
        <v>165</v>
      </c>
      <c r="B41" s="1">
        <v>33</v>
      </c>
      <c r="C41" s="1">
        <v>41</v>
      </c>
      <c r="D41" s="1">
        <v>1536192.8</v>
      </c>
      <c r="E41" s="1">
        <v>129617.1</v>
      </c>
      <c r="F41" s="1">
        <v>150098.29999999999</v>
      </c>
      <c r="H41" s="3">
        <f t="shared" si="0"/>
        <v>0.91562445807583526</v>
      </c>
      <c r="I41" s="1">
        <f t="shared" si="1"/>
        <v>0</v>
      </c>
      <c r="J41" s="1">
        <f t="shared" si="2"/>
        <v>0</v>
      </c>
      <c r="K41" s="1">
        <f t="shared" si="3"/>
        <v>1</v>
      </c>
      <c r="L41" s="1">
        <f t="shared" si="4"/>
        <v>0</v>
      </c>
      <c r="M41" s="1">
        <f t="shared" si="5"/>
        <v>0</v>
      </c>
    </row>
    <row r="42" spans="1:13" x14ac:dyDescent="0.3">
      <c r="A42" s="1" t="s">
        <v>166</v>
      </c>
      <c r="B42" s="1">
        <v>33</v>
      </c>
      <c r="C42" s="1">
        <v>48</v>
      </c>
      <c r="D42" s="1">
        <v>33.299999999999997</v>
      </c>
      <c r="E42" s="1">
        <v>81.030230000000003</v>
      </c>
      <c r="F42" s="1">
        <v>93.834069999999997</v>
      </c>
      <c r="H42" s="3">
        <f t="shared" si="0"/>
        <v>1.4333402402402406</v>
      </c>
      <c r="I42" s="1">
        <f t="shared" si="1"/>
        <v>0</v>
      </c>
      <c r="J42" s="1">
        <f t="shared" si="2"/>
        <v>1</v>
      </c>
      <c r="K42" s="1">
        <f t="shared" si="3"/>
        <v>0</v>
      </c>
      <c r="L42" s="1">
        <f t="shared" si="4"/>
        <v>0</v>
      </c>
      <c r="M42" s="1">
        <f t="shared" si="5"/>
        <v>0</v>
      </c>
    </row>
    <row r="43" spans="1:13" x14ac:dyDescent="0.3">
      <c r="A43" s="1" t="s">
        <v>167</v>
      </c>
      <c r="B43" s="1">
        <v>35</v>
      </c>
      <c r="C43" s="1">
        <v>55</v>
      </c>
      <c r="D43" s="1">
        <v>1.91</v>
      </c>
      <c r="E43" s="1">
        <v>0.33461085000000002</v>
      </c>
      <c r="F43" s="1">
        <v>0.38748375000000002</v>
      </c>
      <c r="H43" s="3">
        <f t="shared" si="0"/>
        <v>0.82481107329842929</v>
      </c>
      <c r="I43" s="1">
        <f t="shared" si="1"/>
        <v>0</v>
      </c>
      <c r="J43" s="1">
        <f t="shared" si="2"/>
        <v>0</v>
      </c>
      <c r="K43" s="1">
        <f t="shared" si="3"/>
        <v>1</v>
      </c>
      <c r="L43" s="1">
        <f t="shared" si="4"/>
        <v>0</v>
      </c>
      <c r="M43" s="1">
        <f t="shared" si="5"/>
        <v>0</v>
      </c>
    </row>
    <row r="44" spans="1:13" x14ac:dyDescent="0.3">
      <c r="A44" s="1" t="s">
        <v>168</v>
      </c>
      <c r="B44" s="1">
        <v>36</v>
      </c>
      <c r="C44" s="1">
        <v>62</v>
      </c>
      <c r="D44" s="1">
        <v>4.3000005000000001E-2</v>
      </c>
      <c r="E44" s="1">
        <v>0.10595281400000001</v>
      </c>
      <c r="F44" s="1">
        <v>0.12269474599999999</v>
      </c>
      <c r="H44" s="3">
        <f t="shared" si="0"/>
        <v>1.4640186437187623</v>
      </c>
      <c r="I44" s="1">
        <f t="shared" si="1"/>
        <v>0</v>
      </c>
      <c r="J44" s="1">
        <f t="shared" si="2"/>
        <v>1</v>
      </c>
      <c r="K44" s="1">
        <f t="shared" si="3"/>
        <v>0</v>
      </c>
      <c r="L44" s="1">
        <f t="shared" si="4"/>
        <v>0</v>
      </c>
      <c r="M44" s="1">
        <f t="shared" si="5"/>
        <v>0</v>
      </c>
    </row>
    <row r="45" spans="1:13" x14ac:dyDescent="0.3">
      <c r="A45" s="1" t="s">
        <v>48</v>
      </c>
      <c r="B45" s="1">
        <v>37</v>
      </c>
      <c r="C45" s="1">
        <v>47</v>
      </c>
      <c r="D45" s="1">
        <v>2835649</v>
      </c>
      <c r="E45" s="1">
        <v>245058.53</v>
      </c>
      <c r="F45" s="1">
        <v>283781</v>
      </c>
      <c r="H45" s="3">
        <f t="shared" si="0"/>
        <v>0.91357938517778481</v>
      </c>
      <c r="I45" s="1">
        <f t="shared" si="1"/>
        <v>0</v>
      </c>
      <c r="J45" s="1">
        <f t="shared" si="2"/>
        <v>0</v>
      </c>
      <c r="K45" s="1">
        <f t="shared" si="3"/>
        <v>1</v>
      </c>
      <c r="L45" s="1">
        <f t="shared" si="4"/>
        <v>0</v>
      </c>
      <c r="M45" s="1">
        <f t="shared" si="5"/>
        <v>0</v>
      </c>
    </row>
    <row r="46" spans="1:13" x14ac:dyDescent="0.3">
      <c r="A46" s="1" t="s">
        <v>169</v>
      </c>
      <c r="B46" s="1">
        <v>39</v>
      </c>
      <c r="C46" s="1">
        <v>65</v>
      </c>
      <c r="D46" s="1">
        <v>0.19699997999999999</v>
      </c>
      <c r="E46" s="1">
        <v>0.14343648000000001</v>
      </c>
      <c r="F46" s="1">
        <v>0.16610132</v>
      </c>
      <c r="H46" s="3">
        <f t="shared" si="0"/>
        <v>0.27189596668994581</v>
      </c>
      <c r="I46" s="1">
        <f t="shared" si="1"/>
        <v>0</v>
      </c>
      <c r="J46" s="1">
        <f t="shared" si="2"/>
        <v>0</v>
      </c>
      <c r="K46" s="1">
        <f t="shared" si="3"/>
        <v>0</v>
      </c>
      <c r="L46" s="1">
        <f t="shared" si="4"/>
        <v>1</v>
      </c>
      <c r="M46" s="1">
        <f t="shared" si="5"/>
        <v>0</v>
      </c>
    </row>
    <row r="47" spans="1:13" x14ac:dyDescent="0.3">
      <c r="A47" s="1" t="s">
        <v>170</v>
      </c>
      <c r="B47" s="1">
        <v>39</v>
      </c>
      <c r="C47" s="1">
        <v>57</v>
      </c>
      <c r="D47" s="1">
        <v>5.3500003999999999</v>
      </c>
      <c r="E47" s="1">
        <v>35.132103000000001</v>
      </c>
      <c r="F47" s="1">
        <v>40.683436999999998</v>
      </c>
      <c r="H47" s="3">
        <f t="shared" si="0"/>
        <v>5.566747733327273</v>
      </c>
      <c r="I47" s="1">
        <f t="shared" si="1"/>
        <v>0</v>
      </c>
      <c r="J47" s="1">
        <f t="shared" si="2"/>
        <v>1</v>
      </c>
      <c r="K47" s="1">
        <f t="shared" si="3"/>
        <v>0</v>
      </c>
      <c r="L47" s="1">
        <f t="shared" si="4"/>
        <v>0</v>
      </c>
      <c r="M47" s="1">
        <f t="shared" si="5"/>
        <v>0</v>
      </c>
    </row>
    <row r="48" spans="1:13" x14ac:dyDescent="0.3">
      <c r="A48" s="1" t="s">
        <v>171</v>
      </c>
      <c r="B48" s="1">
        <v>39</v>
      </c>
      <c r="C48" s="1">
        <v>54</v>
      </c>
      <c r="D48" s="1">
        <v>36611.995999999999</v>
      </c>
      <c r="E48" s="1">
        <v>1540.7391</v>
      </c>
      <c r="F48" s="1">
        <v>1784.1962000000001</v>
      </c>
      <c r="H48" s="3">
        <f t="shared" si="0"/>
        <v>0.9579170963527911</v>
      </c>
      <c r="I48" s="1">
        <f t="shared" si="1"/>
        <v>0</v>
      </c>
      <c r="J48" s="1">
        <f t="shared" si="2"/>
        <v>0</v>
      </c>
      <c r="K48" s="1">
        <f t="shared" si="3"/>
        <v>1</v>
      </c>
      <c r="L48" s="1">
        <f t="shared" si="4"/>
        <v>0</v>
      </c>
      <c r="M48" s="1">
        <f t="shared" si="5"/>
        <v>0</v>
      </c>
    </row>
    <row r="49" spans="1:13" x14ac:dyDescent="0.3">
      <c r="A49" s="1" t="s">
        <v>172</v>
      </c>
      <c r="B49" s="1">
        <v>40</v>
      </c>
      <c r="C49" s="1">
        <v>67</v>
      </c>
      <c r="D49" s="1">
        <v>0.14599999999999999</v>
      </c>
      <c r="E49" s="1">
        <v>0.17389962</v>
      </c>
      <c r="F49" s="1">
        <v>0.20137803000000001</v>
      </c>
      <c r="H49" s="3">
        <f t="shared" si="0"/>
        <v>0.19109328767123299</v>
      </c>
      <c r="I49" s="1">
        <f t="shared" si="1"/>
        <v>0</v>
      </c>
      <c r="J49" s="1">
        <f t="shared" si="2"/>
        <v>0</v>
      </c>
      <c r="K49" s="1">
        <f t="shared" si="3"/>
        <v>0</v>
      </c>
      <c r="L49" s="1">
        <f t="shared" si="4"/>
        <v>1</v>
      </c>
      <c r="M49" s="1">
        <f t="shared" si="5"/>
        <v>0</v>
      </c>
    </row>
    <row r="50" spans="1:13" x14ac:dyDescent="0.3">
      <c r="A50" s="1" t="s">
        <v>173</v>
      </c>
      <c r="B50" s="1">
        <v>41</v>
      </c>
      <c r="C50" s="1">
        <v>73</v>
      </c>
      <c r="D50" s="1">
        <v>1.7000000000000001E-2</v>
      </c>
      <c r="E50" s="1">
        <v>4.1074757000000003E-2</v>
      </c>
      <c r="F50" s="1">
        <v>4.7565106000000003E-2</v>
      </c>
      <c r="H50" s="3">
        <f t="shared" si="0"/>
        <v>1.4161621764705883</v>
      </c>
      <c r="I50" s="1">
        <f t="shared" si="1"/>
        <v>0</v>
      </c>
      <c r="J50" s="1">
        <f t="shared" si="2"/>
        <v>1</v>
      </c>
      <c r="K50" s="1">
        <f t="shared" si="3"/>
        <v>0</v>
      </c>
      <c r="L50" s="1">
        <f t="shared" si="4"/>
        <v>0</v>
      </c>
      <c r="M50" s="1">
        <f t="shared" si="5"/>
        <v>0</v>
      </c>
    </row>
    <row r="51" spans="1:13" x14ac:dyDescent="0.3">
      <c r="A51" s="1" t="s">
        <v>174</v>
      </c>
      <c r="B51" s="1">
        <v>41</v>
      </c>
      <c r="C51" s="1">
        <v>68</v>
      </c>
      <c r="D51" s="1">
        <v>0.107</v>
      </c>
      <c r="E51" s="1">
        <v>0.17800721999999999</v>
      </c>
      <c r="F51" s="1">
        <v>0.20613469000000001</v>
      </c>
      <c r="H51" s="3">
        <f t="shared" si="0"/>
        <v>0.66361887850467283</v>
      </c>
      <c r="I51" s="1">
        <f t="shared" si="1"/>
        <v>0</v>
      </c>
      <c r="J51" s="1">
        <f t="shared" si="2"/>
        <v>0</v>
      </c>
      <c r="K51" s="1">
        <f t="shared" si="3"/>
        <v>1</v>
      </c>
      <c r="L51" s="1">
        <f t="shared" si="4"/>
        <v>0</v>
      </c>
      <c r="M51" s="1">
        <f t="shared" si="5"/>
        <v>0</v>
      </c>
    </row>
    <row r="52" spans="1:13" x14ac:dyDescent="0.3">
      <c r="A52" s="1" t="s">
        <v>175</v>
      </c>
      <c r="B52" s="1">
        <v>41</v>
      </c>
      <c r="C52" s="1">
        <v>54</v>
      </c>
      <c r="D52" s="1">
        <v>3023223</v>
      </c>
      <c r="E52" s="1">
        <v>37718.49</v>
      </c>
      <c r="F52" s="1">
        <v>43678.504000000001</v>
      </c>
      <c r="H52" s="3">
        <f t="shared" si="0"/>
        <v>0.98752374866161041</v>
      </c>
      <c r="I52" s="1">
        <f t="shared" si="1"/>
        <v>0</v>
      </c>
      <c r="J52" s="1">
        <f t="shared" si="2"/>
        <v>0</v>
      </c>
      <c r="K52" s="1">
        <f t="shared" si="3"/>
        <v>1</v>
      </c>
      <c r="L52" s="1">
        <f t="shared" si="4"/>
        <v>0</v>
      </c>
      <c r="M52" s="1">
        <f t="shared" si="5"/>
        <v>0</v>
      </c>
    </row>
    <row r="53" spans="1:13" x14ac:dyDescent="0.3">
      <c r="A53" s="1" t="s">
        <v>176</v>
      </c>
      <c r="B53" s="1">
        <v>43</v>
      </c>
      <c r="C53" s="1">
        <v>77</v>
      </c>
      <c r="D53" s="1">
        <v>2.0999997999999999E-2</v>
      </c>
      <c r="E53" s="1">
        <v>3.9417571999999998E-2</v>
      </c>
      <c r="F53" s="1">
        <v>4.5646064E-2</v>
      </c>
      <c r="H53" s="3">
        <f t="shared" si="0"/>
        <v>0.87702741685975394</v>
      </c>
      <c r="I53" s="1">
        <f t="shared" si="1"/>
        <v>0</v>
      </c>
      <c r="J53" s="1">
        <f t="shared" si="2"/>
        <v>0</v>
      </c>
      <c r="K53" s="1">
        <f t="shared" si="3"/>
        <v>1</v>
      </c>
      <c r="L53" s="1">
        <f t="shared" si="4"/>
        <v>0</v>
      </c>
      <c r="M53" s="1">
        <f t="shared" si="5"/>
        <v>0</v>
      </c>
    </row>
    <row r="54" spans="1:13" x14ac:dyDescent="0.3">
      <c r="A54" s="1" t="s">
        <v>177</v>
      </c>
      <c r="B54" s="1">
        <v>43</v>
      </c>
      <c r="C54" s="1">
        <v>62</v>
      </c>
      <c r="D54" s="1">
        <v>458.40001999999998</v>
      </c>
      <c r="E54" s="1">
        <v>189.33015</v>
      </c>
      <c r="F54" s="1">
        <v>219.24680000000001</v>
      </c>
      <c r="H54" s="3">
        <f t="shared" si="0"/>
        <v>0.58697613058568365</v>
      </c>
      <c r="I54" s="1">
        <f t="shared" si="1"/>
        <v>0</v>
      </c>
      <c r="J54" s="1">
        <f t="shared" si="2"/>
        <v>0</v>
      </c>
      <c r="K54" s="1">
        <f t="shared" si="3"/>
        <v>1</v>
      </c>
      <c r="L54" s="1">
        <f t="shared" si="4"/>
        <v>0</v>
      </c>
      <c r="M54" s="1">
        <f t="shared" si="5"/>
        <v>0</v>
      </c>
    </row>
    <row r="55" spans="1:13" x14ac:dyDescent="0.3">
      <c r="A55" s="1" t="s">
        <v>178</v>
      </c>
      <c r="B55" s="1">
        <v>43</v>
      </c>
      <c r="C55" s="1">
        <v>64</v>
      </c>
      <c r="D55" s="1">
        <v>21.200002999999999</v>
      </c>
      <c r="E55" s="1">
        <v>16.969027000000001</v>
      </c>
      <c r="F55" s="1">
        <v>19.650354</v>
      </c>
      <c r="H55" s="3">
        <f t="shared" si="0"/>
        <v>0.1995743113809936</v>
      </c>
      <c r="I55" s="1">
        <f t="shared" si="1"/>
        <v>0</v>
      </c>
      <c r="J55" s="1">
        <f t="shared" si="2"/>
        <v>0</v>
      </c>
      <c r="K55" s="1">
        <f t="shared" si="3"/>
        <v>0</v>
      </c>
      <c r="L55" s="1">
        <f t="shared" si="4"/>
        <v>1</v>
      </c>
      <c r="M55" s="1">
        <f t="shared" si="5"/>
        <v>0</v>
      </c>
    </row>
    <row r="56" spans="1:13" x14ac:dyDescent="0.3">
      <c r="A56" s="1" t="s">
        <v>179</v>
      </c>
      <c r="B56" s="1">
        <v>44</v>
      </c>
      <c r="C56" s="1">
        <v>76</v>
      </c>
      <c r="D56" s="1">
        <v>4.4999999999999998E-2</v>
      </c>
      <c r="E56" s="1">
        <v>8.0118910000000002E-2</v>
      </c>
      <c r="F56" s="1">
        <v>9.2778749999999993E-2</v>
      </c>
      <c r="H56" s="3">
        <f t="shared" si="0"/>
        <v>0.78042022222222229</v>
      </c>
      <c r="I56" s="1">
        <f t="shared" si="1"/>
        <v>0</v>
      </c>
      <c r="J56" s="1">
        <f t="shared" si="2"/>
        <v>0</v>
      </c>
      <c r="K56" s="1">
        <f t="shared" si="3"/>
        <v>1</v>
      </c>
      <c r="L56" s="1">
        <f t="shared" si="4"/>
        <v>0</v>
      </c>
      <c r="M56" s="1">
        <f t="shared" si="5"/>
        <v>0</v>
      </c>
    </row>
    <row r="57" spans="1:13" x14ac:dyDescent="0.3">
      <c r="A57" s="1" t="s">
        <v>180</v>
      </c>
      <c r="B57" s="1">
        <v>44</v>
      </c>
      <c r="C57" s="1">
        <v>61</v>
      </c>
      <c r="D57" s="1">
        <v>15983.993</v>
      </c>
      <c r="E57" s="1">
        <v>4877.1157000000003</v>
      </c>
      <c r="F57" s="1">
        <v>5647.7640000000001</v>
      </c>
      <c r="H57" s="3">
        <f t="shared" si="0"/>
        <v>0.69487501026808507</v>
      </c>
      <c r="I57" s="1">
        <f t="shared" si="1"/>
        <v>0</v>
      </c>
      <c r="J57" s="1">
        <f t="shared" si="2"/>
        <v>0</v>
      </c>
      <c r="K57" s="1">
        <f t="shared" si="3"/>
        <v>1</v>
      </c>
      <c r="L57" s="1">
        <f t="shared" si="4"/>
        <v>0</v>
      </c>
      <c r="M57" s="1">
        <f t="shared" si="5"/>
        <v>0</v>
      </c>
    </row>
    <row r="58" spans="1:13" x14ac:dyDescent="0.3">
      <c r="A58" s="1" t="s">
        <v>181</v>
      </c>
      <c r="B58" s="1">
        <v>45</v>
      </c>
      <c r="C58" s="1">
        <v>72</v>
      </c>
      <c r="D58" s="1">
        <v>0.42099999999999999</v>
      </c>
      <c r="E58" s="1">
        <v>0.46646029999999999</v>
      </c>
      <c r="F58" s="1">
        <v>0.54016715000000004</v>
      </c>
      <c r="H58" s="3">
        <f t="shared" si="0"/>
        <v>0.10798171021377674</v>
      </c>
      <c r="I58" s="1">
        <f t="shared" si="1"/>
        <v>0</v>
      </c>
      <c r="J58" s="1">
        <f t="shared" si="2"/>
        <v>0</v>
      </c>
      <c r="K58" s="1">
        <f t="shared" si="3"/>
        <v>0</v>
      </c>
      <c r="L58" s="1">
        <f t="shared" si="4"/>
        <v>1</v>
      </c>
      <c r="M58" s="1">
        <f t="shared" si="5"/>
        <v>0</v>
      </c>
    </row>
    <row r="59" spans="1:13" x14ac:dyDescent="0.3">
      <c r="A59" s="1" t="s">
        <v>61</v>
      </c>
      <c r="B59" s="1">
        <v>46</v>
      </c>
      <c r="C59" s="1">
        <v>71</v>
      </c>
      <c r="D59" s="1">
        <v>4.2999996999999999</v>
      </c>
      <c r="E59" s="1">
        <v>6.6425739999999998</v>
      </c>
      <c r="F59" s="1">
        <v>7.6921879999999998</v>
      </c>
      <c r="H59" s="3">
        <f t="shared" si="0"/>
        <v>0.54478475893847156</v>
      </c>
      <c r="I59" s="1">
        <f t="shared" si="1"/>
        <v>0</v>
      </c>
      <c r="J59" s="1">
        <f t="shared" si="2"/>
        <v>0</v>
      </c>
      <c r="K59" s="1">
        <f t="shared" si="3"/>
        <v>1</v>
      </c>
      <c r="L59" s="1">
        <f t="shared" si="4"/>
        <v>0</v>
      </c>
      <c r="M59" s="1">
        <f t="shared" si="5"/>
        <v>0</v>
      </c>
    </row>
    <row r="60" spans="1:13" x14ac:dyDescent="0.3">
      <c r="A60" s="1" t="s">
        <v>182</v>
      </c>
      <c r="B60" s="1">
        <v>46</v>
      </c>
      <c r="C60" s="1">
        <v>68</v>
      </c>
      <c r="D60" s="1">
        <v>145.19998000000001</v>
      </c>
      <c r="E60" s="1">
        <v>327.72375</v>
      </c>
      <c r="F60" s="1">
        <v>379.50839999999999</v>
      </c>
      <c r="H60" s="3">
        <f t="shared" si="0"/>
        <v>1.2570509307232685</v>
      </c>
      <c r="I60" s="1">
        <f t="shared" si="1"/>
        <v>0</v>
      </c>
      <c r="J60" s="1">
        <f t="shared" si="2"/>
        <v>1</v>
      </c>
      <c r="K60" s="1">
        <f t="shared" si="3"/>
        <v>0</v>
      </c>
      <c r="L60" s="1">
        <f t="shared" si="4"/>
        <v>0</v>
      </c>
      <c r="M60" s="1">
        <f t="shared" si="5"/>
        <v>0</v>
      </c>
    </row>
    <row r="61" spans="1:13" x14ac:dyDescent="0.3">
      <c r="A61" s="1" t="s">
        <v>183</v>
      </c>
      <c r="B61" s="1">
        <v>48</v>
      </c>
      <c r="C61" s="1">
        <v>85</v>
      </c>
      <c r="D61" s="1">
        <v>6.0999997E-2</v>
      </c>
      <c r="E61" s="1">
        <v>4.3968957000000003E-2</v>
      </c>
      <c r="F61" s="1">
        <v>5.0916626999999999E-2</v>
      </c>
      <c r="H61" s="3">
        <f t="shared" si="0"/>
        <v>0.27919739078019951</v>
      </c>
      <c r="I61" s="1">
        <f t="shared" si="1"/>
        <v>0</v>
      </c>
      <c r="J61" s="1">
        <f t="shared" si="2"/>
        <v>0</v>
      </c>
      <c r="K61" s="1">
        <f t="shared" si="3"/>
        <v>0</v>
      </c>
      <c r="L61" s="1">
        <f t="shared" si="4"/>
        <v>1</v>
      </c>
      <c r="M61" s="1">
        <f t="shared" si="5"/>
        <v>0</v>
      </c>
    </row>
    <row r="62" spans="1:13" x14ac:dyDescent="0.3">
      <c r="A62" s="1" t="s">
        <v>184</v>
      </c>
      <c r="B62" s="1">
        <v>49</v>
      </c>
      <c r="C62" s="1">
        <v>85</v>
      </c>
      <c r="D62" s="1">
        <v>0.121</v>
      </c>
      <c r="E62" s="1">
        <v>9.1269284000000006E-2</v>
      </c>
      <c r="F62" s="1">
        <v>0.10569103000000001</v>
      </c>
      <c r="H62" s="3">
        <f t="shared" si="0"/>
        <v>0.24570839669421479</v>
      </c>
      <c r="I62" s="1">
        <f t="shared" si="1"/>
        <v>0</v>
      </c>
      <c r="J62" s="1">
        <f t="shared" si="2"/>
        <v>0</v>
      </c>
      <c r="K62" s="1">
        <f t="shared" si="3"/>
        <v>0</v>
      </c>
      <c r="L62" s="1">
        <f t="shared" si="4"/>
        <v>1</v>
      </c>
      <c r="M62" s="1">
        <f t="shared" si="5"/>
        <v>0</v>
      </c>
    </row>
    <row r="63" spans="1:13" x14ac:dyDescent="0.3">
      <c r="A63" s="1" t="s">
        <v>185</v>
      </c>
      <c r="B63" s="1">
        <v>49</v>
      </c>
      <c r="C63" s="1">
        <v>72</v>
      </c>
      <c r="D63" s="1">
        <v>23.099997999999999</v>
      </c>
      <c r="E63" s="1">
        <v>309.86040000000003</v>
      </c>
      <c r="F63" s="1">
        <v>358.82242000000002</v>
      </c>
      <c r="H63" s="3">
        <f t="shared" si="0"/>
        <v>12.413871291244268</v>
      </c>
      <c r="I63" s="1">
        <f t="shared" si="1"/>
        <v>1</v>
      </c>
      <c r="J63" s="1">
        <f t="shared" si="2"/>
        <v>0</v>
      </c>
      <c r="K63" s="1">
        <f t="shared" si="3"/>
        <v>0</v>
      </c>
      <c r="L63" s="1">
        <f t="shared" si="4"/>
        <v>0</v>
      </c>
      <c r="M63" s="1">
        <f t="shared" si="5"/>
        <v>0</v>
      </c>
    </row>
    <row r="64" spans="1:13" x14ac:dyDescent="0.3">
      <c r="A64" s="1" t="s">
        <v>186</v>
      </c>
      <c r="B64" s="1">
        <v>49</v>
      </c>
      <c r="C64" s="1">
        <v>63</v>
      </c>
      <c r="D64" s="1">
        <v>892.8</v>
      </c>
      <c r="E64" s="1">
        <v>26390.103999999999</v>
      </c>
      <c r="F64" s="1">
        <v>30560.085999999999</v>
      </c>
      <c r="H64" s="3">
        <f t="shared" si="0"/>
        <v>28.558808243727601</v>
      </c>
      <c r="I64" s="1">
        <f t="shared" si="1"/>
        <v>1</v>
      </c>
      <c r="J64" s="1">
        <f t="shared" si="2"/>
        <v>0</v>
      </c>
      <c r="K64" s="1">
        <f t="shared" si="3"/>
        <v>0</v>
      </c>
      <c r="L64" s="1">
        <f t="shared" si="4"/>
        <v>0</v>
      </c>
      <c r="M64" s="1">
        <f t="shared" si="5"/>
        <v>0</v>
      </c>
    </row>
    <row r="65" spans="1:13" x14ac:dyDescent="0.3">
      <c r="A65" s="1" t="s">
        <v>187</v>
      </c>
      <c r="B65" s="1">
        <v>50</v>
      </c>
      <c r="C65" s="1">
        <v>81</v>
      </c>
      <c r="D65" s="1">
        <v>56</v>
      </c>
      <c r="E65" s="1">
        <v>16.99653</v>
      </c>
      <c r="F65" s="1">
        <v>19.682205</v>
      </c>
      <c r="H65" s="3">
        <f t="shared" si="0"/>
        <v>0.69649053571428576</v>
      </c>
      <c r="I65" s="1">
        <f t="shared" si="1"/>
        <v>0</v>
      </c>
      <c r="J65" s="1">
        <f t="shared" si="2"/>
        <v>0</v>
      </c>
      <c r="K65" s="1">
        <f t="shared" si="3"/>
        <v>1</v>
      </c>
      <c r="L65" s="1">
        <f t="shared" si="4"/>
        <v>0</v>
      </c>
      <c r="M65" s="1">
        <f t="shared" si="5"/>
        <v>0</v>
      </c>
    </row>
    <row r="66" spans="1:13" x14ac:dyDescent="0.3">
      <c r="A66" s="1" t="s">
        <v>188</v>
      </c>
      <c r="B66" s="1">
        <v>51</v>
      </c>
      <c r="C66" s="1">
        <v>73</v>
      </c>
      <c r="D66" s="1">
        <v>5202056.5</v>
      </c>
      <c r="E66" s="1">
        <v>15577.276</v>
      </c>
      <c r="F66" s="1">
        <v>18038.689999999999</v>
      </c>
      <c r="H66" s="3">
        <f t="shared" si="0"/>
        <v>0.99700555424571036</v>
      </c>
      <c r="I66" s="1">
        <f t="shared" si="1"/>
        <v>0</v>
      </c>
      <c r="J66" s="1">
        <f t="shared" si="2"/>
        <v>0</v>
      </c>
      <c r="K66" s="1">
        <f t="shared" si="3"/>
        <v>1</v>
      </c>
      <c r="L66" s="1">
        <f t="shared" si="4"/>
        <v>0</v>
      </c>
      <c r="M66" s="1">
        <f t="shared" si="5"/>
        <v>0</v>
      </c>
    </row>
    <row r="67" spans="1:13" x14ac:dyDescent="0.3">
      <c r="A67" s="1" t="s">
        <v>189</v>
      </c>
      <c r="B67" s="1">
        <v>51</v>
      </c>
      <c r="C67" s="1">
        <v>83</v>
      </c>
      <c r="D67" s="1">
        <v>0.67500000000000004</v>
      </c>
      <c r="E67" s="1">
        <v>2.1262371999999998</v>
      </c>
      <c r="F67" s="1">
        <v>2.4622104</v>
      </c>
      <c r="H67" s="3">
        <f t="shared" ref="H67:H119" si="6">ABS(D67-E67)/D67</f>
        <v>2.1499810370370365</v>
      </c>
      <c r="I67" s="1">
        <f t="shared" ref="I67:I119" si="7">IF(H67&gt;10,1,0)</f>
        <v>0</v>
      </c>
      <c r="J67" s="1">
        <f t="shared" ref="J67:J119" si="8">IF(AND(H67&lt;=10,H67&gt;1),1,0)</f>
        <v>1</v>
      </c>
      <c r="K67" s="1">
        <f t="shared" ref="K67:K119" si="9">IF(AND(H67&lt;=1,H67&gt;0.5),1,0)</f>
        <v>0</v>
      </c>
      <c r="L67" s="1">
        <f t="shared" ref="L67:L119" si="10">IF(AND(H67&lt;=0.5,H67&gt;0.1),1,0)</f>
        <v>0</v>
      </c>
      <c r="M67" s="1">
        <f t="shared" ref="M67:M119" si="11">IF(AND(H67&lt;=0.1),1,0)</f>
        <v>0</v>
      </c>
    </row>
    <row r="68" spans="1:13" x14ac:dyDescent="0.3">
      <c r="A68" s="1" t="s">
        <v>190</v>
      </c>
      <c r="B68" s="1">
        <v>51</v>
      </c>
      <c r="C68" s="1">
        <v>89</v>
      </c>
      <c r="D68" s="1">
        <v>0.17100000000000001</v>
      </c>
      <c r="E68" s="1">
        <v>0.11557866</v>
      </c>
      <c r="F68" s="1">
        <v>0.13384160000000001</v>
      </c>
      <c r="H68" s="3">
        <f t="shared" si="6"/>
        <v>0.32410140350877198</v>
      </c>
      <c r="I68" s="1">
        <f t="shared" si="7"/>
        <v>0</v>
      </c>
      <c r="J68" s="1">
        <f t="shared" si="8"/>
        <v>0</v>
      </c>
      <c r="K68" s="1">
        <f t="shared" si="9"/>
        <v>0</v>
      </c>
      <c r="L68" s="1">
        <f t="shared" si="10"/>
        <v>1</v>
      </c>
      <c r="M68" s="1">
        <f t="shared" si="11"/>
        <v>0</v>
      </c>
    </row>
    <row r="69" spans="1:13" x14ac:dyDescent="0.3">
      <c r="A69" s="1" t="s">
        <v>75</v>
      </c>
      <c r="B69" s="1">
        <v>53</v>
      </c>
      <c r="C69" s="1">
        <v>85</v>
      </c>
      <c r="D69" s="1">
        <v>6.3029999999999999</v>
      </c>
      <c r="E69" s="1">
        <v>2.6443409999999998</v>
      </c>
      <c r="F69" s="1">
        <v>3.0621814999999999</v>
      </c>
      <c r="H69" s="3">
        <f t="shared" si="6"/>
        <v>0.58046311280342699</v>
      </c>
      <c r="I69" s="1">
        <f t="shared" si="7"/>
        <v>0</v>
      </c>
      <c r="J69" s="1">
        <f t="shared" si="8"/>
        <v>0</v>
      </c>
      <c r="K69" s="1">
        <f t="shared" si="9"/>
        <v>1</v>
      </c>
      <c r="L69" s="1">
        <f t="shared" si="10"/>
        <v>0</v>
      </c>
      <c r="M69" s="1">
        <f t="shared" si="11"/>
        <v>0</v>
      </c>
    </row>
    <row r="70" spans="1:13" x14ac:dyDescent="0.3">
      <c r="A70" s="1" t="s">
        <v>191</v>
      </c>
      <c r="B70" s="1">
        <v>53</v>
      </c>
      <c r="C70" s="1">
        <v>88</v>
      </c>
      <c r="D70" s="1">
        <v>0.41799997999999999</v>
      </c>
      <c r="E70" s="1">
        <v>0.41435411999999999</v>
      </c>
      <c r="F70" s="1">
        <v>0.47982750000000002</v>
      </c>
      <c r="H70" s="3">
        <f t="shared" si="6"/>
        <v>8.7221535273757696E-3</v>
      </c>
      <c r="I70" s="1">
        <f t="shared" si="7"/>
        <v>0</v>
      </c>
      <c r="J70" s="1">
        <f t="shared" si="8"/>
        <v>0</v>
      </c>
      <c r="K70" s="1">
        <f t="shared" si="9"/>
        <v>0</v>
      </c>
      <c r="L70" s="1">
        <f t="shared" si="10"/>
        <v>0</v>
      </c>
      <c r="M70" s="1">
        <f t="shared" si="11"/>
        <v>1</v>
      </c>
    </row>
    <row r="71" spans="1:13" x14ac:dyDescent="0.3">
      <c r="A71" s="1" t="s">
        <v>192</v>
      </c>
      <c r="B71" s="1">
        <v>53</v>
      </c>
      <c r="C71" s="1">
        <v>86</v>
      </c>
      <c r="D71" s="1">
        <v>2.29</v>
      </c>
      <c r="E71" s="1">
        <v>7.0500116000000004</v>
      </c>
      <c r="F71" s="1">
        <v>8.1640060000000005</v>
      </c>
      <c r="H71" s="3">
        <f t="shared" si="6"/>
        <v>2.0786076855895197</v>
      </c>
      <c r="I71" s="1">
        <f t="shared" si="7"/>
        <v>0</v>
      </c>
      <c r="J71" s="1">
        <f t="shared" si="8"/>
        <v>1</v>
      </c>
      <c r="K71" s="1">
        <f t="shared" si="9"/>
        <v>0</v>
      </c>
      <c r="L71" s="1">
        <f t="shared" si="10"/>
        <v>0</v>
      </c>
      <c r="M71" s="1">
        <f t="shared" si="11"/>
        <v>0</v>
      </c>
    </row>
    <row r="72" spans="1:13" x14ac:dyDescent="0.3">
      <c r="A72" s="1" t="s">
        <v>193</v>
      </c>
      <c r="B72" s="1">
        <v>54</v>
      </c>
      <c r="C72" s="1">
        <v>83</v>
      </c>
      <c r="D72" s="1">
        <v>229.25995</v>
      </c>
      <c r="E72" s="1">
        <v>58.636395</v>
      </c>
      <c r="F72" s="1">
        <v>67.901709999999994</v>
      </c>
      <c r="H72" s="3">
        <f t="shared" si="6"/>
        <v>0.74423620436103211</v>
      </c>
      <c r="I72" s="1">
        <f t="shared" si="7"/>
        <v>0</v>
      </c>
      <c r="J72" s="1">
        <f t="shared" si="8"/>
        <v>0</v>
      </c>
      <c r="K72" s="1">
        <f t="shared" si="9"/>
        <v>1</v>
      </c>
      <c r="L72" s="1">
        <f t="shared" si="10"/>
        <v>0</v>
      </c>
      <c r="M72" s="1">
        <f t="shared" si="11"/>
        <v>0</v>
      </c>
    </row>
    <row r="73" spans="1:13" x14ac:dyDescent="0.3">
      <c r="A73" s="1" t="s">
        <v>194</v>
      </c>
      <c r="B73" s="1">
        <v>54</v>
      </c>
      <c r="C73" s="1">
        <v>92</v>
      </c>
      <c r="D73" s="1">
        <v>0.14599999999999999</v>
      </c>
      <c r="E73" s="1">
        <v>0.52417270000000005</v>
      </c>
      <c r="F73" s="1">
        <v>0.60699886000000003</v>
      </c>
      <c r="H73" s="3">
        <f t="shared" si="6"/>
        <v>2.5902239726027401</v>
      </c>
      <c r="I73" s="1">
        <f t="shared" si="7"/>
        <v>0</v>
      </c>
      <c r="J73" s="1">
        <f t="shared" si="8"/>
        <v>1</v>
      </c>
      <c r="K73" s="1">
        <f t="shared" si="9"/>
        <v>0</v>
      </c>
      <c r="L73" s="1">
        <f t="shared" si="10"/>
        <v>0</v>
      </c>
      <c r="M73" s="1">
        <f t="shared" si="11"/>
        <v>0</v>
      </c>
    </row>
    <row r="74" spans="1:13" x14ac:dyDescent="0.3">
      <c r="A74" s="1" t="s">
        <v>195</v>
      </c>
      <c r="B74" s="1">
        <v>54</v>
      </c>
      <c r="C74" s="1">
        <v>94</v>
      </c>
      <c r="D74" s="1">
        <v>8.5000000000000006E-2</v>
      </c>
      <c r="E74" s="1">
        <v>0.117725395</v>
      </c>
      <c r="F74" s="1">
        <v>0.13632754999999999</v>
      </c>
      <c r="H74" s="3">
        <f t="shared" si="6"/>
        <v>0.38500464705882337</v>
      </c>
      <c r="I74" s="1">
        <f t="shared" si="7"/>
        <v>0</v>
      </c>
      <c r="J74" s="1">
        <f t="shared" si="8"/>
        <v>0</v>
      </c>
      <c r="K74" s="1">
        <f t="shared" si="9"/>
        <v>0</v>
      </c>
      <c r="L74" s="1">
        <f t="shared" si="10"/>
        <v>1</v>
      </c>
      <c r="M74" s="1">
        <f t="shared" si="11"/>
        <v>0</v>
      </c>
    </row>
    <row r="75" spans="1:13" x14ac:dyDescent="0.3">
      <c r="A75" s="1" t="s">
        <v>196</v>
      </c>
      <c r="B75" s="1">
        <v>55</v>
      </c>
      <c r="C75" s="1">
        <v>90</v>
      </c>
      <c r="D75" s="1">
        <v>0.58799999999999997</v>
      </c>
      <c r="E75" s="1">
        <v>10.494653</v>
      </c>
      <c r="F75" s="1">
        <v>12.1529455</v>
      </c>
      <c r="H75" s="3">
        <f t="shared" si="6"/>
        <v>16.848049319727892</v>
      </c>
      <c r="I75" s="1">
        <f t="shared" si="7"/>
        <v>1</v>
      </c>
      <c r="J75" s="1">
        <f t="shared" si="8"/>
        <v>0</v>
      </c>
      <c r="K75" s="1">
        <f t="shared" si="9"/>
        <v>0</v>
      </c>
      <c r="L75" s="1">
        <f t="shared" si="10"/>
        <v>0</v>
      </c>
      <c r="M75" s="1">
        <f t="shared" si="11"/>
        <v>0</v>
      </c>
    </row>
    <row r="76" spans="1:13" x14ac:dyDescent="0.3">
      <c r="A76" s="1" t="s">
        <v>197</v>
      </c>
      <c r="B76" s="1">
        <v>55</v>
      </c>
      <c r="C76" s="1">
        <v>94</v>
      </c>
      <c r="D76" s="1">
        <v>0.111999996</v>
      </c>
      <c r="E76" s="1">
        <v>0.16913610000000001</v>
      </c>
      <c r="F76" s="1">
        <v>0.19586182999999999</v>
      </c>
      <c r="H76" s="3">
        <f t="shared" si="6"/>
        <v>0.51014380393370728</v>
      </c>
      <c r="I76" s="1">
        <f t="shared" si="7"/>
        <v>0</v>
      </c>
      <c r="J76" s="1">
        <f t="shared" si="8"/>
        <v>0</v>
      </c>
      <c r="K76" s="1">
        <f t="shared" si="9"/>
        <v>1</v>
      </c>
      <c r="L76" s="1">
        <f t="shared" si="10"/>
        <v>0</v>
      </c>
      <c r="M76" s="1">
        <f t="shared" si="11"/>
        <v>0</v>
      </c>
    </row>
    <row r="77" spans="1:13" x14ac:dyDescent="0.3">
      <c r="A77" s="1" t="s">
        <v>198</v>
      </c>
      <c r="B77" s="1">
        <v>56</v>
      </c>
      <c r="C77" s="1">
        <v>91</v>
      </c>
      <c r="D77" s="1">
        <v>0.89400000000000002</v>
      </c>
      <c r="E77" s="1">
        <v>3.1142072999999999</v>
      </c>
      <c r="F77" s="1">
        <v>3.6062927</v>
      </c>
      <c r="H77" s="3">
        <f t="shared" si="6"/>
        <v>2.4834533557046976</v>
      </c>
      <c r="I77" s="1">
        <f t="shared" si="7"/>
        <v>0</v>
      </c>
      <c r="J77" s="1">
        <f t="shared" si="8"/>
        <v>1</v>
      </c>
      <c r="K77" s="1">
        <f t="shared" si="9"/>
        <v>0</v>
      </c>
      <c r="L77" s="1">
        <f t="shared" si="10"/>
        <v>0</v>
      </c>
      <c r="M77" s="1">
        <f t="shared" si="11"/>
        <v>0</v>
      </c>
    </row>
    <row r="78" spans="1:13" x14ac:dyDescent="0.3">
      <c r="A78" s="1" t="s">
        <v>199</v>
      </c>
      <c r="B78" s="1">
        <v>57</v>
      </c>
      <c r="C78" s="1">
        <v>88</v>
      </c>
      <c r="D78" s="1">
        <v>24.800003</v>
      </c>
      <c r="E78" s="1">
        <v>31.435977999999999</v>
      </c>
      <c r="F78" s="1">
        <v>36.403275000000001</v>
      </c>
      <c r="H78" s="3">
        <f t="shared" si="6"/>
        <v>0.26757960472827358</v>
      </c>
      <c r="I78" s="1">
        <f t="shared" si="7"/>
        <v>0</v>
      </c>
      <c r="J78" s="1">
        <f t="shared" si="8"/>
        <v>0</v>
      </c>
      <c r="K78" s="1">
        <f t="shared" si="9"/>
        <v>0</v>
      </c>
      <c r="L78" s="1">
        <f t="shared" si="10"/>
        <v>1</v>
      </c>
      <c r="M78" s="1">
        <f t="shared" si="11"/>
        <v>0</v>
      </c>
    </row>
    <row r="79" spans="1:13" x14ac:dyDescent="0.3">
      <c r="A79" s="1" t="s">
        <v>200</v>
      </c>
      <c r="B79" s="1">
        <v>58</v>
      </c>
      <c r="C79" s="1">
        <v>87</v>
      </c>
      <c r="D79" s="1">
        <v>181.20000999999999</v>
      </c>
      <c r="E79" s="1">
        <v>303.0566</v>
      </c>
      <c r="F79" s="1">
        <v>350.94349999999997</v>
      </c>
      <c r="H79" s="3">
        <f t="shared" si="6"/>
        <v>0.6724977001932837</v>
      </c>
      <c r="I79" s="1">
        <f t="shared" si="7"/>
        <v>0</v>
      </c>
      <c r="J79" s="1">
        <f t="shared" si="8"/>
        <v>0</v>
      </c>
      <c r="K79" s="1">
        <f t="shared" si="9"/>
        <v>1</v>
      </c>
      <c r="L79" s="1">
        <f t="shared" si="10"/>
        <v>0</v>
      </c>
      <c r="M79" s="1">
        <f t="shared" si="11"/>
        <v>0</v>
      </c>
    </row>
    <row r="80" spans="1:13" x14ac:dyDescent="0.3">
      <c r="A80" s="1" t="s">
        <v>201</v>
      </c>
      <c r="B80" s="1">
        <v>58</v>
      </c>
      <c r="C80" s="1">
        <v>98</v>
      </c>
      <c r="D80" s="1">
        <v>0.23300001000000001</v>
      </c>
      <c r="E80" s="1">
        <v>0.41547289999999998</v>
      </c>
      <c r="F80" s="1">
        <v>0.48112305999999999</v>
      </c>
      <c r="H80" s="3">
        <f t="shared" si="6"/>
        <v>0.78314541703238538</v>
      </c>
      <c r="I80" s="1">
        <f t="shared" si="7"/>
        <v>0</v>
      </c>
      <c r="J80" s="1">
        <f t="shared" si="8"/>
        <v>0</v>
      </c>
      <c r="K80" s="1">
        <f t="shared" si="9"/>
        <v>1</v>
      </c>
      <c r="L80" s="1">
        <f t="shared" si="10"/>
        <v>0</v>
      </c>
      <c r="M80" s="1">
        <f t="shared" si="11"/>
        <v>0</v>
      </c>
    </row>
    <row r="81" spans="1:13" x14ac:dyDescent="0.3">
      <c r="A81" s="1" t="s">
        <v>202</v>
      </c>
      <c r="B81" s="1">
        <v>59</v>
      </c>
      <c r="C81" s="1">
        <v>95</v>
      </c>
      <c r="D81" s="1">
        <v>2.2999999999999998</v>
      </c>
      <c r="E81" s="1">
        <v>2.8590483999999998</v>
      </c>
      <c r="F81" s="1">
        <v>3.3108156000000002</v>
      </c>
      <c r="H81" s="3">
        <f t="shared" si="6"/>
        <v>0.24306452173913046</v>
      </c>
      <c r="I81" s="1">
        <f t="shared" si="7"/>
        <v>0</v>
      </c>
      <c r="J81" s="1">
        <f t="shared" si="8"/>
        <v>0</v>
      </c>
      <c r="K81" s="1">
        <f t="shared" si="9"/>
        <v>0</v>
      </c>
      <c r="L81" s="1">
        <f t="shared" si="10"/>
        <v>1</v>
      </c>
      <c r="M81" s="1">
        <f t="shared" si="11"/>
        <v>0</v>
      </c>
    </row>
    <row r="82" spans="1:13" x14ac:dyDescent="0.3">
      <c r="A82" s="1" t="s">
        <v>203</v>
      </c>
      <c r="B82" s="1">
        <v>59</v>
      </c>
      <c r="C82" s="1">
        <v>91</v>
      </c>
      <c r="D82" s="1">
        <v>6.19</v>
      </c>
      <c r="E82" s="1">
        <v>25.428758999999999</v>
      </c>
      <c r="F82" s="1">
        <v>29.446836000000001</v>
      </c>
      <c r="H82" s="3">
        <f t="shared" si="6"/>
        <v>3.1080386106623581</v>
      </c>
      <c r="I82" s="1">
        <f t="shared" si="7"/>
        <v>0</v>
      </c>
      <c r="J82" s="1">
        <f t="shared" si="8"/>
        <v>1</v>
      </c>
      <c r="K82" s="1">
        <f t="shared" si="9"/>
        <v>0</v>
      </c>
      <c r="L82" s="1">
        <f t="shared" si="10"/>
        <v>0</v>
      </c>
      <c r="M82" s="1">
        <f t="shared" si="11"/>
        <v>0</v>
      </c>
    </row>
    <row r="83" spans="1:13" x14ac:dyDescent="0.3">
      <c r="A83" s="1" t="s">
        <v>204</v>
      </c>
      <c r="B83" s="1">
        <v>60</v>
      </c>
      <c r="C83" s="1">
        <v>89</v>
      </c>
      <c r="D83" s="1">
        <v>6220.7983000000004</v>
      </c>
      <c r="E83" s="1">
        <v>3134.2683000000002</v>
      </c>
      <c r="F83" s="1">
        <v>3629.5237000000002</v>
      </c>
      <c r="H83" s="3">
        <f t="shared" si="6"/>
        <v>0.49616300853220074</v>
      </c>
      <c r="I83" s="1">
        <f t="shared" si="7"/>
        <v>0</v>
      </c>
      <c r="J83" s="1">
        <f t="shared" si="8"/>
        <v>0</v>
      </c>
      <c r="K83" s="1">
        <f t="shared" si="9"/>
        <v>0</v>
      </c>
      <c r="L83" s="1">
        <f t="shared" si="10"/>
        <v>1</v>
      </c>
      <c r="M83" s="1">
        <f t="shared" si="11"/>
        <v>0</v>
      </c>
    </row>
    <row r="84" spans="1:13" x14ac:dyDescent="0.3">
      <c r="A84" s="1" t="s">
        <v>205</v>
      </c>
      <c r="B84" s="1">
        <v>60</v>
      </c>
      <c r="C84" s="1">
        <v>99</v>
      </c>
      <c r="D84" s="1">
        <v>0.48499999999999999</v>
      </c>
      <c r="E84" s="1">
        <v>0.93859965000000001</v>
      </c>
      <c r="F84" s="1">
        <v>1.0869107</v>
      </c>
      <c r="H84" s="3">
        <f t="shared" si="6"/>
        <v>0.93525701030927844</v>
      </c>
      <c r="I84" s="1">
        <f t="shared" si="7"/>
        <v>0</v>
      </c>
      <c r="J84" s="1">
        <f t="shared" si="8"/>
        <v>0</v>
      </c>
      <c r="K84" s="1">
        <f t="shared" si="9"/>
        <v>1</v>
      </c>
      <c r="L84" s="1">
        <f t="shared" si="10"/>
        <v>0</v>
      </c>
      <c r="M84" s="1">
        <f t="shared" si="11"/>
        <v>0</v>
      </c>
    </row>
    <row r="85" spans="1:13" x14ac:dyDescent="0.3">
      <c r="A85" s="1" t="s">
        <v>87</v>
      </c>
      <c r="B85" s="1">
        <v>61</v>
      </c>
      <c r="C85" s="1">
        <v>102</v>
      </c>
      <c r="D85" s="1">
        <v>0.36299999999999999</v>
      </c>
      <c r="E85" s="1">
        <v>0.51430975999999995</v>
      </c>
      <c r="F85" s="1">
        <v>0.59557740000000003</v>
      </c>
      <c r="H85" s="3">
        <f t="shared" si="6"/>
        <v>0.41683129476584013</v>
      </c>
      <c r="I85" s="1">
        <f t="shared" si="7"/>
        <v>0</v>
      </c>
      <c r="J85" s="1">
        <f t="shared" si="8"/>
        <v>0</v>
      </c>
      <c r="K85" s="1">
        <f t="shared" si="9"/>
        <v>0</v>
      </c>
      <c r="L85" s="1">
        <f t="shared" si="10"/>
        <v>1</v>
      </c>
      <c r="M85" s="1">
        <f t="shared" si="11"/>
        <v>0</v>
      </c>
    </row>
    <row r="86" spans="1:13" x14ac:dyDescent="0.3">
      <c r="A86" s="1" t="s">
        <v>88</v>
      </c>
      <c r="B86" s="1">
        <v>62</v>
      </c>
      <c r="C86" s="1">
        <v>105</v>
      </c>
      <c r="D86" s="1">
        <v>0.33400000000000002</v>
      </c>
      <c r="E86" s="1">
        <v>0.29993694999999998</v>
      </c>
      <c r="F86" s="1">
        <v>0.34733092999999998</v>
      </c>
      <c r="H86" s="3">
        <f t="shared" si="6"/>
        <v>0.10198517964071867</v>
      </c>
      <c r="I86" s="1">
        <f t="shared" si="7"/>
        <v>0</v>
      </c>
      <c r="J86" s="1">
        <f t="shared" si="8"/>
        <v>0</v>
      </c>
      <c r="K86" s="1">
        <f t="shared" si="9"/>
        <v>0</v>
      </c>
      <c r="L86" s="1">
        <f t="shared" si="10"/>
        <v>1</v>
      </c>
      <c r="M86" s="1">
        <f t="shared" si="11"/>
        <v>0</v>
      </c>
    </row>
    <row r="87" spans="1:13" x14ac:dyDescent="0.3">
      <c r="A87" s="1" t="s">
        <v>206</v>
      </c>
      <c r="B87" s="1">
        <v>62</v>
      </c>
      <c r="C87" s="1">
        <v>97</v>
      </c>
      <c r="D87" s="1">
        <v>11.370001</v>
      </c>
      <c r="E87" s="1">
        <v>66.56053</v>
      </c>
      <c r="F87" s="1">
        <v>77.077965000000006</v>
      </c>
      <c r="H87" s="3">
        <f t="shared" si="6"/>
        <v>4.854047858043284</v>
      </c>
      <c r="I87" s="1">
        <f t="shared" si="7"/>
        <v>0</v>
      </c>
      <c r="J87" s="1">
        <f t="shared" si="8"/>
        <v>1</v>
      </c>
      <c r="K87" s="1">
        <f t="shared" si="9"/>
        <v>0</v>
      </c>
      <c r="L87" s="1">
        <f t="shared" si="10"/>
        <v>0</v>
      </c>
      <c r="M87" s="1">
        <f t="shared" si="11"/>
        <v>0</v>
      </c>
    </row>
    <row r="88" spans="1:13" x14ac:dyDescent="0.3">
      <c r="A88" s="1" t="s">
        <v>91</v>
      </c>
      <c r="B88" s="1">
        <v>63</v>
      </c>
      <c r="C88" s="1">
        <v>101</v>
      </c>
      <c r="D88" s="1">
        <v>4.08</v>
      </c>
      <c r="E88" s="1">
        <v>3.6101725</v>
      </c>
      <c r="F88" s="1">
        <v>4.1806270000000003</v>
      </c>
      <c r="H88" s="3">
        <f t="shared" si="6"/>
        <v>0.11515379901960786</v>
      </c>
      <c r="I88" s="1">
        <f t="shared" si="7"/>
        <v>0</v>
      </c>
      <c r="J88" s="1">
        <f t="shared" si="8"/>
        <v>0</v>
      </c>
      <c r="K88" s="1">
        <f t="shared" si="9"/>
        <v>0</v>
      </c>
      <c r="L88" s="1">
        <f t="shared" si="10"/>
        <v>1</v>
      </c>
      <c r="M88" s="1">
        <f t="shared" si="11"/>
        <v>0</v>
      </c>
    </row>
    <row r="89" spans="1:13" x14ac:dyDescent="0.3">
      <c r="A89" s="1" t="s">
        <v>207</v>
      </c>
      <c r="B89" s="1">
        <v>63</v>
      </c>
      <c r="C89" s="1">
        <v>98</v>
      </c>
      <c r="D89" s="1">
        <v>26.000001999999999</v>
      </c>
      <c r="E89" s="1">
        <v>61.480452999999997</v>
      </c>
      <c r="F89" s="1">
        <v>71.195170000000005</v>
      </c>
      <c r="H89" s="3">
        <f t="shared" si="6"/>
        <v>1.3646326257974906</v>
      </c>
      <c r="I89" s="1">
        <f t="shared" si="7"/>
        <v>0</v>
      </c>
      <c r="J89" s="1">
        <f t="shared" si="8"/>
        <v>1</v>
      </c>
      <c r="K89" s="1">
        <f t="shared" si="9"/>
        <v>0</v>
      </c>
      <c r="L89" s="1">
        <f t="shared" si="10"/>
        <v>0</v>
      </c>
      <c r="M89" s="1">
        <f t="shared" si="11"/>
        <v>0</v>
      </c>
    </row>
    <row r="90" spans="1:13" x14ac:dyDescent="0.3">
      <c r="A90" s="1" t="s">
        <v>93</v>
      </c>
      <c r="B90" s="1">
        <v>63</v>
      </c>
      <c r="C90" s="1">
        <v>99</v>
      </c>
      <c r="D90" s="1">
        <v>11.699999</v>
      </c>
      <c r="E90" s="1">
        <v>4.3717855999999999</v>
      </c>
      <c r="F90" s="1">
        <v>5.0625850000000003</v>
      </c>
      <c r="H90" s="3">
        <f t="shared" si="6"/>
        <v>0.62634307917462217</v>
      </c>
      <c r="I90" s="1">
        <f t="shared" si="7"/>
        <v>0</v>
      </c>
      <c r="J90" s="1">
        <f t="shared" si="8"/>
        <v>0</v>
      </c>
      <c r="K90" s="1">
        <f t="shared" si="9"/>
        <v>1</v>
      </c>
      <c r="L90" s="1">
        <f t="shared" si="10"/>
        <v>0</v>
      </c>
      <c r="M90" s="1">
        <f t="shared" si="11"/>
        <v>0</v>
      </c>
    </row>
    <row r="91" spans="1:13" x14ac:dyDescent="0.3">
      <c r="A91" s="1" t="s">
        <v>208</v>
      </c>
      <c r="B91" s="1">
        <v>65</v>
      </c>
      <c r="C91" s="1">
        <v>99</v>
      </c>
      <c r="D91" s="1">
        <v>179.99995000000001</v>
      </c>
      <c r="E91" s="1">
        <v>707.09230000000002</v>
      </c>
      <c r="F91" s="1">
        <v>818.82213999999999</v>
      </c>
      <c r="H91" s="3">
        <f t="shared" si="6"/>
        <v>2.9282916467476796</v>
      </c>
      <c r="I91" s="1">
        <f t="shared" si="7"/>
        <v>0</v>
      </c>
      <c r="J91" s="1">
        <f t="shared" si="8"/>
        <v>1</v>
      </c>
      <c r="K91" s="1">
        <f t="shared" si="9"/>
        <v>0</v>
      </c>
      <c r="L91" s="1">
        <f t="shared" si="10"/>
        <v>0</v>
      </c>
      <c r="M91" s="1">
        <f t="shared" si="11"/>
        <v>0</v>
      </c>
    </row>
    <row r="92" spans="1:13" x14ac:dyDescent="0.3">
      <c r="A92" s="1" t="s">
        <v>209</v>
      </c>
      <c r="B92" s="1">
        <v>66</v>
      </c>
      <c r="C92" s="1">
        <v>99</v>
      </c>
      <c r="D92" s="1">
        <v>8391.6010000000006</v>
      </c>
      <c r="E92" s="1">
        <v>36377.589999999997</v>
      </c>
      <c r="F92" s="1">
        <v>42125.726999999999</v>
      </c>
      <c r="H92" s="3">
        <f t="shared" si="6"/>
        <v>3.3349999600791307</v>
      </c>
      <c r="I92" s="1">
        <f t="shared" si="7"/>
        <v>0</v>
      </c>
      <c r="J92" s="1">
        <f t="shared" si="8"/>
        <v>1</v>
      </c>
      <c r="K92" s="1">
        <f t="shared" si="9"/>
        <v>0</v>
      </c>
      <c r="L92" s="1">
        <f t="shared" si="10"/>
        <v>0</v>
      </c>
      <c r="M92" s="1">
        <f t="shared" si="11"/>
        <v>0</v>
      </c>
    </row>
    <row r="93" spans="1:13" x14ac:dyDescent="0.3">
      <c r="A93" s="1" t="s">
        <v>210</v>
      </c>
      <c r="B93" s="1">
        <v>66</v>
      </c>
      <c r="C93" s="1">
        <v>106</v>
      </c>
      <c r="D93" s="1">
        <v>3.5199997000000001</v>
      </c>
      <c r="E93" s="1">
        <v>6.4818069999999999</v>
      </c>
      <c r="F93" s="1">
        <v>7.5060177000000001</v>
      </c>
      <c r="H93" s="3">
        <f t="shared" si="6"/>
        <v>0.84142260012124426</v>
      </c>
      <c r="I93" s="1">
        <f t="shared" si="7"/>
        <v>0</v>
      </c>
      <c r="J93" s="1">
        <f t="shared" si="8"/>
        <v>0</v>
      </c>
      <c r="K93" s="1">
        <f t="shared" si="9"/>
        <v>1</v>
      </c>
      <c r="L93" s="1">
        <f t="shared" si="10"/>
        <v>0</v>
      </c>
      <c r="M93" s="1">
        <f t="shared" si="11"/>
        <v>0</v>
      </c>
    </row>
    <row r="94" spans="1:13" x14ac:dyDescent="0.3">
      <c r="A94" s="1" t="s">
        <v>211</v>
      </c>
      <c r="B94" s="1">
        <v>67</v>
      </c>
      <c r="C94" s="1">
        <v>100</v>
      </c>
      <c r="D94" s="1">
        <v>10682.999</v>
      </c>
      <c r="E94" s="1">
        <v>12245.538</v>
      </c>
      <c r="F94" s="1">
        <v>14180.493</v>
      </c>
      <c r="H94" s="3">
        <f t="shared" si="6"/>
        <v>0.14626407809267797</v>
      </c>
      <c r="I94" s="1">
        <f t="shared" si="7"/>
        <v>0</v>
      </c>
      <c r="J94" s="1">
        <f t="shared" si="8"/>
        <v>0</v>
      </c>
      <c r="K94" s="1">
        <f t="shared" si="9"/>
        <v>0</v>
      </c>
      <c r="L94" s="1">
        <f t="shared" si="10"/>
        <v>1</v>
      </c>
      <c r="M94" s="1">
        <f t="shared" si="11"/>
        <v>0</v>
      </c>
    </row>
    <row r="95" spans="1:13" x14ac:dyDescent="0.3">
      <c r="A95" s="1" t="s">
        <v>212</v>
      </c>
      <c r="B95" s="1">
        <v>67</v>
      </c>
      <c r="C95" s="1">
        <v>105</v>
      </c>
      <c r="D95" s="1">
        <v>25.000001999999999</v>
      </c>
      <c r="E95" s="1">
        <v>20.838272</v>
      </c>
      <c r="F95" s="1">
        <v>24.130993</v>
      </c>
      <c r="H95" s="3">
        <f t="shared" si="6"/>
        <v>0.16646918668246502</v>
      </c>
      <c r="I95" s="1">
        <f t="shared" si="7"/>
        <v>0</v>
      </c>
      <c r="J95" s="1">
        <f t="shared" si="8"/>
        <v>0</v>
      </c>
      <c r="K95" s="1">
        <f t="shared" si="9"/>
        <v>0</v>
      </c>
      <c r="L95" s="1">
        <f t="shared" si="10"/>
        <v>1</v>
      </c>
      <c r="M95" s="1">
        <f t="shared" si="11"/>
        <v>0</v>
      </c>
    </row>
    <row r="96" spans="1:13" x14ac:dyDescent="0.3">
      <c r="A96" s="1" t="s">
        <v>99</v>
      </c>
      <c r="B96" s="1">
        <v>70</v>
      </c>
      <c r="C96" s="1">
        <v>105</v>
      </c>
      <c r="D96" s="1">
        <v>359553.66</v>
      </c>
      <c r="E96" s="1">
        <v>265923.09999999998</v>
      </c>
      <c r="F96" s="1">
        <v>307942.44</v>
      </c>
      <c r="H96" s="3">
        <f t="shared" si="6"/>
        <v>0.26040775109895975</v>
      </c>
      <c r="I96" s="1">
        <f t="shared" si="7"/>
        <v>0</v>
      </c>
      <c r="J96" s="1">
        <f t="shared" si="8"/>
        <v>0</v>
      </c>
      <c r="K96" s="1">
        <f t="shared" si="9"/>
        <v>0</v>
      </c>
      <c r="L96" s="1">
        <f t="shared" si="10"/>
        <v>1</v>
      </c>
      <c r="M96" s="1">
        <f t="shared" si="11"/>
        <v>0</v>
      </c>
    </row>
    <row r="97" spans="1:13" x14ac:dyDescent="0.3">
      <c r="A97" s="1" t="s">
        <v>100</v>
      </c>
      <c r="B97" s="1">
        <v>70</v>
      </c>
      <c r="C97" s="1">
        <v>109</v>
      </c>
      <c r="D97" s="1">
        <v>480.00002999999998</v>
      </c>
      <c r="E97" s="1">
        <v>287.05297999999999</v>
      </c>
      <c r="F97" s="1">
        <v>332.41109999999998</v>
      </c>
      <c r="H97" s="3">
        <f t="shared" si="6"/>
        <v>0.4019729957100211</v>
      </c>
      <c r="I97" s="1">
        <f t="shared" si="7"/>
        <v>0</v>
      </c>
      <c r="J97" s="1">
        <f t="shared" si="8"/>
        <v>0</v>
      </c>
      <c r="K97" s="1">
        <f t="shared" si="9"/>
        <v>0</v>
      </c>
      <c r="L97" s="1">
        <f t="shared" si="10"/>
        <v>1</v>
      </c>
      <c r="M97" s="1">
        <f t="shared" si="11"/>
        <v>0</v>
      </c>
    </row>
    <row r="98" spans="1:13" x14ac:dyDescent="0.3">
      <c r="A98" s="1" t="s">
        <v>213</v>
      </c>
      <c r="B98" s="1">
        <v>71</v>
      </c>
      <c r="C98" s="1">
        <v>111</v>
      </c>
      <c r="D98" s="1">
        <v>119.999985</v>
      </c>
      <c r="E98" s="1">
        <v>47.622387000000003</v>
      </c>
      <c r="F98" s="1">
        <v>55.147345999999999</v>
      </c>
      <c r="H98" s="3">
        <f t="shared" si="6"/>
        <v>0.60314672539334058</v>
      </c>
      <c r="I98" s="1">
        <f t="shared" si="7"/>
        <v>0</v>
      </c>
      <c r="J98" s="1">
        <f t="shared" si="8"/>
        <v>0</v>
      </c>
      <c r="K98" s="1">
        <f t="shared" si="9"/>
        <v>1</v>
      </c>
      <c r="L98" s="1">
        <f t="shared" si="10"/>
        <v>0</v>
      </c>
      <c r="M98" s="1">
        <f t="shared" si="11"/>
        <v>0</v>
      </c>
    </row>
    <row r="99" spans="1:13" x14ac:dyDescent="0.3">
      <c r="A99" s="1" t="s">
        <v>214</v>
      </c>
      <c r="B99" s="1">
        <v>74</v>
      </c>
      <c r="C99" s="1">
        <v>113</v>
      </c>
      <c r="D99" s="1">
        <v>85680</v>
      </c>
      <c r="E99" s="1">
        <v>3844.8856999999998</v>
      </c>
      <c r="F99" s="1">
        <v>4452.4279999999999</v>
      </c>
      <c r="H99" s="3">
        <f t="shared" si="6"/>
        <v>0.95512505018674143</v>
      </c>
      <c r="I99" s="1">
        <f t="shared" si="7"/>
        <v>0</v>
      </c>
      <c r="J99" s="1">
        <f t="shared" si="8"/>
        <v>0</v>
      </c>
      <c r="K99" s="1">
        <f t="shared" si="9"/>
        <v>1</v>
      </c>
      <c r="L99" s="1">
        <f t="shared" si="10"/>
        <v>0</v>
      </c>
      <c r="M99" s="1">
        <f t="shared" si="11"/>
        <v>0</v>
      </c>
    </row>
    <row r="100" spans="1:13" x14ac:dyDescent="0.3">
      <c r="A100" s="1" t="s">
        <v>215</v>
      </c>
      <c r="B100" s="1">
        <v>74</v>
      </c>
      <c r="C100" s="1">
        <v>116</v>
      </c>
      <c r="D100" s="1">
        <v>1799.9994999999999</v>
      </c>
      <c r="E100" s="1">
        <v>959.91719999999998</v>
      </c>
      <c r="F100" s="1">
        <v>1111.5967000000001</v>
      </c>
      <c r="H100" s="3">
        <f t="shared" si="6"/>
        <v>0.46671251853125512</v>
      </c>
      <c r="I100" s="1">
        <f t="shared" si="7"/>
        <v>0</v>
      </c>
      <c r="J100" s="1">
        <f t="shared" si="8"/>
        <v>0</v>
      </c>
      <c r="K100" s="1">
        <f t="shared" si="9"/>
        <v>0</v>
      </c>
      <c r="L100" s="1">
        <f t="shared" si="10"/>
        <v>1</v>
      </c>
      <c r="M100" s="1">
        <f t="shared" si="11"/>
        <v>0</v>
      </c>
    </row>
    <row r="101" spans="1:13" x14ac:dyDescent="0.3">
      <c r="A101" s="1" t="s">
        <v>105</v>
      </c>
      <c r="B101" s="1">
        <v>76</v>
      </c>
      <c r="C101" s="1">
        <v>115</v>
      </c>
      <c r="D101" s="1">
        <v>1296000.2</v>
      </c>
      <c r="E101" s="1">
        <v>437344.2</v>
      </c>
      <c r="F101" s="1">
        <v>506450.3</v>
      </c>
      <c r="H101" s="3">
        <f t="shared" si="6"/>
        <v>0.66254310763223645</v>
      </c>
      <c r="I101" s="1">
        <f t="shared" si="7"/>
        <v>0</v>
      </c>
      <c r="J101" s="1">
        <f t="shared" si="8"/>
        <v>0</v>
      </c>
      <c r="K101" s="1">
        <f t="shared" si="9"/>
        <v>1</v>
      </c>
      <c r="L101" s="1">
        <f t="shared" si="10"/>
        <v>0</v>
      </c>
      <c r="M101" s="1">
        <f t="shared" si="11"/>
        <v>0</v>
      </c>
    </row>
    <row r="102" spans="1:13" x14ac:dyDescent="0.3">
      <c r="A102" s="1" t="s">
        <v>216</v>
      </c>
      <c r="B102" s="1">
        <v>77</v>
      </c>
      <c r="C102" s="1">
        <v>124</v>
      </c>
      <c r="D102" s="1">
        <v>20.999998000000001</v>
      </c>
      <c r="E102" s="1">
        <v>26.6799</v>
      </c>
      <c r="F102" s="1">
        <v>30.895674</v>
      </c>
      <c r="H102" s="3">
        <f t="shared" si="6"/>
        <v>0.27047154956871894</v>
      </c>
      <c r="I102" s="1">
        <f t="shared" si="7"/>
        <v>0</v>
      </c>
      <c r="J102" s="1">
        <f t="shared" si="8"/>
        <v>0</v>
      </c>
      <c r="K102" s="1">
        <f t="shared" si="9"/>
        <v>0</v>
      </c>
      <c r="L102" s="1">
        <f t="shared" si="10"/>
        <v>1</v>
      </c>
      <c r="M102" s="1">
        <f t="shared" si="11"/>
        <v>0</v>
      </c>
    </row>
    <row r="103" spans="1:13" x14ac:dyDescent="0.3">
      <c r="A103" s="1" t="s">
        <v>108</v>
      </c>
      <c r="B103" s="1">
        <v>78</v>
      </c>
      <c r="C103" s="1">
        <v>121</v>
      </c>
      <c r="D103" s="1">
        <v>1830.6002000000001</v>
      </c>
      <c r="E103" s="1">
        <v>1043.7463</v>
      </c>
      <c r="F103" s="1">
        <v>1208.672</v>
      </c>
      <c r="H103" s="3">
        <f t="shared" si="6"/>
        <v>0.42983383264133807</v>
      </c>
      <c r="I103" s="1">
        <f t="shared" si="7"/>
        <v>0</v>
      </c>
      <c r="J103" s="1">
        <f t="shared" si="8"/>
        <v>0</v>
      </c>
      <c r="K103" s="1">
        <f t="shared" si="9"/>
        <v>0</v>
      </c>
      <c r="L103" s="1">
        <f t="shared" si="10"/>
        <v>1</v>
      </c>
      <c r="M103" s="1">
        <f t="shared" si="11"/>
        <v>0</v>
      </c>
    </row>
    <row r="104" spans="1:13" x14ac:dyDescent="0.3">
      <c r="A104" s="1" t="s">
        <v>217</v>
      </c>
      <c r="B104" s="1">
        <v>79</v>
      </c>
      <c r="C104" s="1">
        <v>126</v>
      </c>
      <c r="D104" s="1">
        <v>31.999998000000001</v>
      </c>
      <c r="E104" s="1">
        <v>35.254246000000002</v>
      </c>
      <c r="F104" s="1">
        <v>40.82488</v>
      </c>
      <c r="H104" s="3">
        <f t="shared" si="6"/>
        <v>0.10169525635595353</v>
      </c>
      <c r="I104" s="1">
        <f t="shared" si="7"/>
        <v>0</v>
      </c>
      <c r="J104" s="1">
        <f t="shared" si="8"/>
        <v>0</v>
      </c>
      <c r="K104" s="1">
        <f t="shared" si="9"/>
        <v>0</v>
      </c>
      <c r="L104" s="1">
        <f t="shared" si="10"/>
        <v>1</v>
      </c>
      <c r="M104" s="1">
        <f t="shared" si="11"/>
        <v>0</v>
      </c>
    </row>
    <row r="105" spans="1:13" x14ac:dyDescent="0.3">
      <c r="A105" s="1" t="s">
        <v>111</v>
      </c>
      <c r="B105" s="1">
        <v>79</v>
      </c>
      <c r="C105" s="1">
        <v>127</v>
      </c>
      <c r="D105" s="1">
        <v>46.999991999999999</v>
      </c>
      <c r="E105" s="1">
        <v>15.426031999999999</v>
      </c>
      <c r="F105" s="1">
        <v>17.863545999999999</v>
      </c>
      <c r="H105" s="3">
        <f t="shared" si="6"/>
        <v>0.67178649732536122</v>
      </c>
      <c r="I105" s="1">
        <f t="shared" si="7"/>
        <v>0</v>
      </c>
      <c r="J105" s="1">
        <f t="shared" si="8"/>
        <v>0</v>
      </c>
      <c r="K105" s="1">
        <f t="shared" si="9"/>
        <v>1</v>
      </c>
      <c r="L105" s="1">
        <f t="shared" si="10"/>
        <v>0</v>
      </c>
      <c r="M105" s="1">
        <f t="shared" si="11"/>
        <v>0</v>
      </c>
    </row>
    <row r="106" spans="1:13" x14ac:dyDescent="0.3">
      <c r="A106" s="1" t="s">
        <v>112</v>
      </c>
      <c r="B106" s="1">
        <v>80</v>
      </c>
      <c r="C106" s="1">
        <v>128</v>
      </c>
      <c r="D106" s="1">
        <v>134.99996999999999</v>
      </c>
      <c r="E106" s="1">
        <v>71.815330000000003</v>
      </c>
      <c r="F106" s="1">
        <v>83.163089999999997</v>
      </c>
      <c r="H106" s="3">
        <f t="shared" si="6"/>
        <v>0.46803447437803131</v>
      </c>
      <c r="I106" s="1">
        <f t="shared" si="7"/>
        <v>0</v>
      </c>
      <c r="J106" s="1">
        <f t="shared" si="8"/>
        <v>0</v>
      </c>
      <c r="K106" s="1">
        <f t="shared" si="9"/>
        <v>0</v>
      </c>
      <c r="L106" s="1">
        <f t="shared" si="10"/>
        <v>1</v>
      </c>
      <c r="M106" s="1">
        <f t="shared" si="11"/>
        <v>0</v>
      </c>
    </row>
    <row r="107" spans="1:13" x14ac:dyDescent="0.3">
      <c r="A107" s="1" t="s">
        <v>218</v>
      </c>
      <c r="B107" s="1">
        <v>81</v>
      </c>
      <c r="C107" s="1">
        <v>132</v>
      </c>
      <c r="D107" s="1">
        <v>23.799997000000001</v>
      </c>
      <c r="E107" s="1">
        <v>16.55226</v>
      </c>
      <c r="F107" s="1">
        <v>19.167733999999999</v>
      </c>
      <c r="H107" s="3">
        <f t="shared" si="6"/>
        <v>0.30452680309161384</v>
      </c>
      <c r="I107" s="1">
        <f t="shared" si="7"/>
        <v>0</v>
      </c>
      <c r="J107" s="1">
        <f t="shared" si="8"/>
        <v>0</v>
      </c>
      <c r="K107" s="1">
        <f t="shared" si="9"/>
        <v>0</v>
      </c>
      <c r="L107" s="1">
        <f t="shared" si="10"/>
        <v>1</v>
      </c>
      <c r="M107" s="1">
        <f t="shared" si="11"/>
        <v>0</v>
      </c>
    </row>
    <row r="108" spans="1:13" x14ac:dyDescent="0.3">
      <c r="A108" s="1" t="s">
        <v>219</v>
      </c>
      <c r="B108" s="1">
        <v>82</v>
      </c>
      <c r="C108" s="1">
        <v>134</v>
      </c>
      <c r="D108" s="1">
        <v>99.399990000000003</v>
      </c>
      <c r="E108" s="1">
        <v>259.47507000000002</v>
      </c>
      <c r="F108" s="1">
        <v>300.47552000000002</v>
      </c>
      <c r="H108" s="3">
        <f t="shared" si="6"/>
        <v>1.6104134416914933</v>
      </c>
      <c r="I108" s="1">
        <f t="shared" si="7"/>
        <v>0</v>
      </c>
      <c r="J108" s="1">
        <f t="shared" si="8"/>
        <v>1</v>
      </c>
      <c r="K108" s="1">
        <f t="shared" si="9"/>
        <v>0</v>
      </c>
      <c r="L108" s="1">
        <f t="shared" si="10"/>
        <v>0</v>
      </c>
      <c r="M108" s="1">
        <f t="shared" si="11"/>
        <v>0</v>
      </c>
    </row>
    <row r="109" spans="1:13" x14ac:dyDescent="0.3">
      <c r="A109" s="1" t="s">
        <v>220</v>
      </c>
      <c r="B109" s="1">
        <v>82</v>
      </c>
      <c r="C109" s="1">
        <v>131</v>
      </c>
      <c r="D109" s="1">
        <v>612.00009999999997</v>
      </c>
      <c r="E109" s="1">
        <v>255.14896999999999</v>
      </c>
      <c r="F109" s="1">
        <v>295.46584999999999</v>
      </c>
      <c r="H109" s="3">
        <f t="shared" si="6"/>
        <v>0.58308998642320486</v>
      </c>
      <c r="I109" s="1">
        <f t="shared" si="7"/>
        <v>0</v>
      </c>
      <c r="J109" s="1">
        <f t="shared" si="8"/>
        <v>0</v>
      </c>
      <c r="K109" s="1">
        <f t="shared" si="9"/>
        <v>1</v>
      </c>
      <c r="L109" s="1">
        <f t="shared" si="10"/>
        <v>0</v>
      </c>
      <c r="M109" s="1">
        <f t="shared" si="11"/>
        <v>0</v>
      </c>
    </row>
    <row r="110" spans="1:13" x14ac:dyDescent="0.3">
      <c r="A110" s="1" t="s">
        <v>119</v>
      </c>
      <c r="B110" s="1">
        <v>85</v>
      </c>
      <c r="C110" s="1">
        <v>137</v>
      </c>
      <c r="D110" s="1">
        <v>53.999996000000003</v>
      </c>
      <c r="E110" s="1">
        <v>41.797150000000002</v>
      </c>
      <c r="F110" s="1">
        <v>48.401646</v>
      </c>
      <c r="H110" s="3">
        <f t="shared" si="6"/>
        <v>0.22597864636878862</v>
      </c>
      <c r="I110" s="1">
        <f t="shared" si="7"/>
        <v>0</v>
      </c>
      <c r="J110" s="1">
        <f t="shared" si="8"/>
        <v>0</v>
      </c>
      <c r="K110" s="1">
        <f t="shared" si="9"/>
        <v>0</v>
      </c>
      <c r="L110" s="1">
        <f t="shared" si="10"/>
        <v>1</v>
      </c>
      <c r="M110" s="1">
        <f t="shared" si="11"/>
        <v>0</v>
      </c>
    </row>
    <row r="111" spans="1:13" x14ac:dyDescent="0.3">
      <c r="A111" s="1" t="s">
        <v>221</v>
      </c>
      <c r="B111" s="1">
        <v>85</v>
      </c>
      <c r="C111" s="1">
        <v>134</v>
      </c>
      <c r="D111" s="1">
        <v>56</v>
      </c>
      <c r="E111" s="1">
        <v>547.99839999999995</v>
      </c>
      <c r="F111" s="1">
        <v>634.58936000000006</v>
      </c>
      <c r="H111" s="3">
        <f t="shared" si="6"/>
        <v>8.7856857142857141</v>
      </c>
      <c r="I111" s="1">
        <f t="shared" si="7"/>
        <v>0</v>
      </c>
      <c r="J111" s="1">
        <f t="shared" si="8"/>
        <v>1</v>
      </c>
      <c r="K111" s="1">
        <f t="shared" si="9"/>
        <v>0</v>
      </c>
      <c r="L111" s="1">
        <f t="shared" si="10"/>
        <v>0</v>
      </c>
      <c r="M111" s="1">
        <f t="shared" si="11"/>
        <v>0</v>
      </c>
    </row>
    <row r="112" spans="1:13" x14ac:dyDescent="0.3">
      <c r="A112" s="1" t="s">
        <v>222</v>
      </c>
      <c r="B112" s="1">
        <v>86</v>
      </c>
      <c r="C112" s="1">
        <v>140</v>
      </c>
      <c r="D112" s="1">
        <v>444</v>
      </c>
      <c r="E112" s="1">
        <v>1517.7150999999999</v>
      </c>
      <c r="F112" s="1">
        <v>1757.5338999999999</v>
      </c>
      <c r="H112" s="3">
        <f t="shared" si="6"/>
        <v>2.4182772522522522</v>
      </c>
      <c r="I112" s="1">
        <f t="shared" si="7"/>
        <v>0</v>
      </c>
      <c r="J112" s="1">
        <f t="shared" si="8"/>
        <v>1</v>
      </c>
      <c r="K112" s="1">
        <f t="shared" si="9"/>
        <v>0</v>
      </c>
      <c r="L112" s="1">
        <f t="shared" si="10"/>
        <v>0</v>
      </c>
      <c r="M112" s="1">
        <f t="shared" si="11"/>
        <v>0</v>
      </c>
    </row>
    <row r="113" spans="1:13" x14ac:dyDescent="0.3">
      <c r="A113" s="1" t="s">
        <v>223</v>
      </c>
      <c r="B113" s="1">
        <v>86</v>
      </c>
      <c r="C113" s="1">
        <v>139</v>
      </c>
      <c r="D113" s="1">
        <v>279.60007000000002</v>
      </c>
      <c r="E113" s="1">
        <v>538.98145</v>
      </c>
      <c r="F113" s="1">
        <v>624.14760000000001</v>
      </c>
      <c r="H113" s="3">
        <f t="shared" si="6"/>
        <v>0.92768710680222632</v>
      </c>
      <c r="I113" s="1">
        <f t="shared" si="7"/>
        <v>0</v>
      </c>
      <c r="J113" s="1">
        <f t="shared" si="8"/>
        <v>0</v>
      </c>
      <c r="K113" s="1">
        <f t="shared" si="9"/>
        <v>1</v>
      </c>
      <c r="L113" s="1">
        <f t="shared" si="10"/>
        <v>0</v>
      </c>
      <c r="M113" s="1">
        <f t="shared" si="11"/>
        <v>0</v>
      </c>
    </row>
    <row r="114" spans="1:13" x14ac:dyDescent="0.3">
      <c r="A114" s="1" t="s">
        <v>224</v>
      </c>
      <c r="B114" s="1">
        <v>88</v>
      </c>
      <c r="C114" s="1">
        <v>139</v>
      </c>
      <c r="D114" s="1">
        <v>2531.9994999999999</v>
      </c>
      <c r="E114" s="1">
        <v>2406.1574999999998</v>
      </c>
      <c r="F114" s="1">
        <v>2786.3618000000001</v>
      </c>
      <c r="H114" s="3">
        <f t="shared" si="6"/>
        <v>4.9700641726035139E-2</v>
      </c>
      <c r="I114" s="1">
        <f t="shared" si="7"/>
        <v>0</v>
      </c>
      <c r="J114" s="1">
        <f t="shared" si="8"/>
        <v>0</v>
      </c>
      <c r="K114" s="1">
        <f t="shared" si="9"/>
        <v>0</v>
      </c>
      <c r="L114" s="1">
        <f t="shared" si="10"/>
        <v>0</v>
      </c>
      <c r="M114" s="1">
        <f t="shared" si="11"/>
        <v>1</v>
      </c>
    </row>
    <row r="115" spans="1:13" x14ac:dyDescent="0.3">
      <c r="A115" s="1" t="s">
        <v>225</v>
      </c>
      <c r="B115" s="1">
        <v>88</v>
      </c>
      <c r="C115" s="1">
        <v>144</v>
      </c>
      <c r="D115" s="1">
        <v>252.00002000000001</v>
      </c>
      <c r="E115" s="1">
        <v>357.93871999999999</v>
      </c>
      <c r="F115" s="1">
        <v>414.49774000000002</v>
      </c>
      <c r="H115" s="3">
        <f t="shared" si="6"/>
        <v>0.42039163330225127</v>
      </c>
      <c r="I115" s="1">
        <f t="shared" si="7"/>
        <v>0</v>
      </c>
      <c r="J115" s="1">
        <f t="shared" si="8"/>
        <v>0</v>
      </c>
      <c r="K115" s="1">
        <f t="shared" si="9"/>
        <v>0</v>
      </c>
      <c r="L115" s="1">
        <f t="shared" si="10"/>
        <v>1</v>
      </c>
      <c r="M115" s="1">
        <f t="shared" si="11"/>
        <v>0</v>
      </c>
    </row>
    <row r="116" spans="1:13" x14ac:dyDescent="0.3">
      <c r="A116" s="1" t="s">
        <v>127</v>
      </c>
      <c r="B116" s="1">
        <v>91</v>
      </c>
      <c r="C116" s="1">
        <v>148</v>
      </c>
      <c r="D116" s="1">
        <v>6479.9989999999998</v>
      </c>
      <c r="E116" s="1">
        <v>57.041840000000001</v>
      </c>
      <c r="F116" s="1">
        <v>66.055199999999999</v>
      </c>
      <c r="H116" s="3">
        <f t="shared" si="6"/>
        <v>0.99119724555513056</v>
      </c>
      <c r="I116" s="1">
        <f t="shared" si="7"/>
        <v>0</v>
      </c>
      <c r="J116" s="1">
        <f t="shared" si="8"/>
        <v>0</v>
      </c>
      <c r="K116" s="1">
        <f t="shared" si="9"/>
        <v>1</v>
      </c>
      <c r="L116" s="1">
        <f t="shared" si="10"/>
        <v>0</v>
      </c>
      <c r="M116" s="1">
        <f t="shared" si="11"/>
        <v>0</v>
      </c>
    </row>
    <row r="117" spans="1:13" x14ac:dyDescent="0.3">
      <c r="A117" s="1" t="s">
        <v>226</v>
      </c>
      <c r="B117" s="1">
        <v>93</v>
      </c>
      <c r="C117" s="1">
        <v>149</v>
      </c>
      <c r="D117" s="1">
        <v>132.00002000000001</v>
      </c>
      <c r="E117" s="1">
        <v>98.79392</v>
      </c>
      <c r="F117" s="1">
        <v>114.40465500000001</v>
      </c>
      <c r="H117" s="3">
        <f t="shared" si="6"/>
        <v>0.25156132552101135</v>
      </c>
      <c r="I117" s="1">
        <f t="shared" si="7"/>
        <v>0</v>
      </c>
      <c r="J117" s="1">
        <f t="shared" si="8"/>
        <v>0</v>
      </c>
      <c r="K117" s="1">
        <f t="shared" si="9"/>
        <v>0</v>
      </c>
      <c r="L117" s="1">
        <f t="shared" si="10"/>
        <v>1</v>
      </c>
      <c r="M117" s="1">
        <f t="shared" si="11"/>
        <v>0</v>
      </c>
    </row>
    <row r="118" spans="1:13" x14ac:dyDescent="0.3">
      <c r="A118" s="1" t="s">
        <v>227</v>
      </c>
      <c r="B118" s="1">
        <v>95</v>
      </c>
      <c r="C118" s="1">
        <v>149</v>
      </c>
      <c r="D118" s="1">
        <v>36072.016000000003</v>
      </c>
      <c r="E118" s="1">
        <v>22570.831999999999</v>
      </c>
      <c r="F118" s="1">
        <v>26137.317999999999</v>
      </c>
      <c r="H118" s="3">
        <f t="shared" si="6"/>
        <v>0.37428415423191219</v>
      </c>
      <c r="I118" s="1">
        <f t="shared" si="7"/>
        <v>0</v>
      </c>
      <c r="J118" s="1">
        <f t="shared" si="8"/>
        <v>0</v>
      </c>
      <c r="K118" s="1">
        <f t="shared" si="9"/>
        <v>0</v>
      </c>
      <c r="L118" s="1">
        <f t="shared" si="10"/>
        <v>1</v>
      </c>
      <c r="M118" s="1">
        <f t="shared" si="11"/>
        <v>0</v>
      </c>
    </row>
    <row r="119" spans="1:13" x14ac:dyDescent="0.3">
      <c r="A119" s="1" t="s">
        <v>228</v>
      </c>
      <c r="B119" s="1">
        <v>99</v>
      </c>
      <c r="C119" s="1">
        <v>158</v>
      </c>
      <c r="D119" s="1">
        <v>665279.69999999995</v>
      </c>
      <c r="E119" s="1">
        <v>240895.03</v>
      </c>
      <c r="F119" s="1">
        <v>278959.59999999998</v>
      </c>
      <c r="H119" s="3">
        <f t="shared" si="6"/>
        <v>0.63790413265277746</v>
      </c>
      <c r="I119" s="1">
        <f t="shared" si="7"/>
        <v>0</v>
      </c>
      <c r="J119" s="1">
        <f t="shared" si="8"/>
        <v>0</v>
      </c>
      <c r="K119" s="1">
        <f t="shared" si="9"/>
        <v>1</v>
      </c>
      <c r="L119" s="1">
        <f t="shared" si="10"/>
        <v>0</v>
      </c>
      <c r="M119" s="1">
        <f t="shared" si="11"/>
        <v>0</v>
      </c>
    </row>
  </sheetData>
  <phoneticPr fontId="1" type="noConversion"/>
  <conditionalFormatting sqref="A2:F119">
    <cfRule type="expression" dxfId="4" priority="1">
      <formula>$M2=1</formula>
    </cfRule>
    <cfRule type="expression" dxfId="3" priority="2">
      <formula>$L2=1</formula>
    </cfRule>
    <cfRule type="expression" dxfId="2" priority="3">
      <formula>$K2=1</formula>
    </cfRule>
    <cfRule type="expression" dxfId="1" priority="4">
      <formula>$J2=1</formula>
    </cfRule>
    <cfRule type="expression" dxfId="0" priority="5">
      <formula>$I2=1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训练后测试集结果</vt:lpstr>
      <vt:lpstr>随机分配新的测试集但是不训练得到的结果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Yihan Yang</dc:creator>
  <cp:lastModifiedBy>Yihna Yang</cp:lastModifiedBy>
  <dcterms:created xsi:type="dcterms:W3CDTF">2015-06-05T18:19:34Z</dcterms:created>
  <dcterms:modified xsi:type="dcterms:W3CDTF">2026-04-20T14:38:12Z</dcterms:modified>
</cp:coreProperties>
</file>